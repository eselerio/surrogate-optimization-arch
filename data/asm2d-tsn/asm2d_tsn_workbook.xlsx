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elerio\projects\pibre-model\data\asm2d-tsn\"/>
    </mc:Choice>
  </mc:AlternateContent>
  <xr:revisionPtr revIDLastSave="0" documentId="13_ncr:1_{CBE39B76-AAE6-4F8B-B81C-27576AE36217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toichiometric_matrix" sheetId="1" r:id="rId1"/>
    <sheet name="composition_matrix" sheetId="2" r:id="rId2"/>
    <sheet name="parameter_table" sheetId="3" r:id="rId3"/>
  </sheets>
  <definedNames>
    <definedName name="_xlnm._FilterDatabase" localSheetId="1" hidden="1">composition_matrix!$A$1:$G$21</definedName>
    <definedName name="_xlnm._FilterDatabase" localSheetId="2" hidden="1">parameter_table!$A$1:$F$82</definedName>
    <definedName name="_xlnm._FilterDatabase" localSheetId="0" hidden="1">stoichiometric_matrix!$A$1:$V$29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0" i="2"/>
  <c r="F20" i="2"/>
  <c r="G19" i="2"/>
  <c r="F19" i="2"/>
  <c r="E19" i="2"/>
  <c r="D19" i="2"/>
  <c r="G18" i="2"/>
  <c r="F18" i="2"/>
  <c r="E18" i="2"/>
  <c r="D18" i="2"/>
  <c r="G17" i="2"/>
  <c r="D17" i="2"/>
  <c r="G16" i="2"/>
  <c r="F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F10" i="2"/>
  <c r="E10" i="2"/>
  <c r="D10" i="2"/>
  <c r="F9" i="2"/>
  <c r="E7" i="2"/>
  <c r="E6" i="2"/>
  <c r="E5" i="2"/>
  <c r="D4" i="2"/>
  <c r="F3" i="2"/>
  <c r="E3" i="2"/>
  <c r="D3" i="2"/>
  <c r="V29" i="1"/>
  <c r="U29" i="1"/>
  <c r="L29" i="1"/>
  <c r="J29" i="1"/>
  <c r="F29" i="1"/>
  <c r="V28" i="1"/>
  <c r="U28" i="1"/>
  <c r="J28" i="1"/>
  <c r="F28" i="1"/>
  <c r="L28" i="1" s="1"/>
  <c r="T27" i="1"/>
  <c r="N27" i="1"/>
  <c r="J27" i="1" s="1"/>
  <c r="M27" i="1"/>
  <c r="S26" i="1"/>
  <c r="J26" i="1" s="1"/>
  <c r="N26" i="1"/>
  <c r="M26" i="1"/>
  <c r="F26" i="1"/>
  <c r="L26" i="1" s="1"/>
  <c r="T25" i="1"/>
  <c r="J25" i="1" s="1"/>
  <c r="H25" i="1"/>
  <c r="G25" i="1"/>
  <c r="F25" i="1"/>
  <c r="C25" i="1"/>
  <c r="S24" i="1"/>
  <c r="J24" i="1" s="1"/>
  <c r="L24" i="1" s="1"/>
  <c r="G24" i="1"/>
  <c r="F24" i="1"/>
  <c r="C24" i="1"/>
  <c r="R23" i="1"/>
  <c r="J23" i="1"/>
  <c r="F23" i="1"/>
  <c r="L23" i="1" s="1"/>
  <c r="E23" i="1"/>
  <c r="Q22" i="1"/>
  <c r="L22" i="1"/>
  <c r="J22" i="1"/>
  <c r="F22" i="1"/>
  <c r="P21" i="1"/>
  <c r="J21" i="1" s="1"/>
  <c r="N21" i="1"/>
  <c r="M21" i="1"/>
  <c r="F21" i="1"/>
  <c r="L21" i="1" s="1"/>
  <c r="R20" i="1"/>
  <c r="P20" i="1"/>
  <c r="J20" i="1"/>
  <c r="I20" i="1"/>
  <c r="G20" i="1"/>
  <c r="F20" i="1" s="1"/>
  <c r="L20" i="1" s="1"/>
  <c r="R19" i="1"/>
  <c r="P19" i="1"/>
  <c r="J19" i="1" s="1"/>
  <c r="H19" i="1"/>
  <c r="G19" i="1"/>
  <c r="F19" i="1"/>
  <c r="L19" i="1" s="1"/>
  <c r="R18" i="1"/>
  <c r="P18" i="1"/>
  <c r="F18" i="1" s="1"/>
  <c r="L18" i="1" s="1"/>
  <c r="J18" i="1"/>
  <c r="C18" i="1"/>
  <c r="R17" i="1"/>
  <c r="Q17" i="1"/>
  <c r="J17" i="1" s="1"/>
  <c r="L17" i="1" s="1"/>
  <c r="I17" i="1"/>
  <c r="G17" i="1"/>
  <c r="F17" i="1"/>
  <c r="R16" i="1"/>
  <c r="Q16" i="1"/>
  <c r="J16" i="1"/>
  <c r="H16" i="1"/>
  <c r="G16" i="1"/>
  <c r="F16" i="1"/>
  <c r="L16" i="1" s="1"/>
  <c r="R15" i="1"/>
  <c r="Q15" i="1"/>
  <c r="J15" i="1" s="1"/>
  <c r="L15" i="1" s="1"/>
  <c r="F15" i="1"/>
  <c r="C15" i="1"/>
  <c r="R14" i="1"/>
  <c r="Q14" i="1"/>
  <c r="J14" i="1"/>
  <c r="F14" i="1"/>
  <c r="L14" i="1" s="1"/>
  <c r="E14" i="1"/>
  <c r="O13" i="1"/>
  <c r="N13" i="1"/>
  <c r="J13" i="1" s="1"/>
  <c r="M13" i="1"/>
  <c r="F13" i="1" s="1"/>
  <c r="L13" i="1" s="1"/>
  <c r="E12" i="1"/>
  <c r="D12" i="1"/>
  <c r="J12" i="1" s="1"/>
  <c r="O11" i="1"/>
  <c r="J11" i="1"/>
  <c r="I11" i="1"/>
  <c r="F11" i="1" s="1"/>
  <c r="L11" i="1" s="1"/>
  <c r="G11" i="1"/>
  <c r="E11" i="1"/>
  <c r="O10" i="1"/>
  <c r="J10" i="1" s="1"/>
  <c r="H10" i="1"/>
  <c r="G10" i="1"/>
  <c r="F10" i="1"/>
  <c r="L10" i="1" s="1"/>
  <c r="E10" i="1"/>
  <c r="O9" i="1"/>
  <c r="J9" i="1"/>
  <c r="I9" i="1"/>
  <c r="G9" i="1"/>
  <c r="D9" i="1"/>
  <c r="F9" i="1" s="1"/>
  <c r="L9" i="1" s="1"/>
  <c r="O8" i="1"/>
  <c r="H8" i="1"/>
  <c r="G8" i="1"/>
  <c r="D8" i="1"/>
  <c r="J8" i="1" s="1"/>
  <c r="O7" i="1"/>
  <c r="J7" i="1"/>
  <c r="F7" i="1"/>
  <c r="L7" i="1" s="1"/>
  <c r="E7" i="1"/>
  <c r="C7" i="1"/>
  <c r="O6" i="1"/>
  <c r="D6" i="1"/>
  <c r="J6" i="1" s="1"/>
  <c r="C6" i="1"/>
  <c r="N5" i="1"/>
  <c r="K5" i="1"/>
  <c r="D5" i="1"/>
  <c r="F5" i="1" s="1"/>
  <c r="N4" i="1"/>
  <c r="J4" i="1" s="1"/>
  <c r="K4" i="1"/>
  <c r="D4" i="1"/>
  <c r="F4" i="1" s="1"/>
  <c r="L4" i="1" s="1"/>
  <c r="N3" i="1"/>
  <c r="K3" i="1"/>
  <c r="D3" i="1"/>
  <c r="J3" i="1" s="1"/>
  <c r="N2" i="1"/>
  <c r="K2" i="1"/>
  <c r="D2" i="1"/>
  <c r="J2" i="1" s="1"/>
  <c r="L25" i="1" l="1"/>
  <c r="J5" i="1"/>
  <c r="L5" i="1" s="1"/>
  <c r="F3" i="1"/>
  <c r="L3" i="1" s="1"/>
  <c r="F8" i="1"/>
  <c r="L8" i="1" s="1"/>
  <c r="F12" i="1"/>
  <c r="L12" i="1" s="1"/>
  <c r="F6" i="1"/>
  <c r="L6" i="1" s="1"/>
  <c r="F2" i="1"/>
  <c r="L2" i="1" s="1"/>
  <c r="F27" i="1"/>
  <c r="L27" i="1" s="1"/>
</calcChain>
</file>

<file path=xl/sharedStrings.xml><?xml version="1.0" encoding="utf-8"?>
<sst xmlns="http://schemas.openxmlformats.org/spreadsheetml/2006/main" count="528" uniqueCount="254">
  <si>
    <t>process_index</t>
  </si>
  <si>
    <t>process</t>
  </si>
  <si>
    <t>S_O</t>
  </si>
  <si>
    <t>S_F</t>
  </si>
  <si>
    <t>S_A</t>
  </si>
  <si>
    <t>S_NH4</t>
  </si>
  <si>
    <t>S_NO2</t>
  </si>
  <si>
    <t>S_NO3</t>
  </si>
  <si>
    <t>S_N2</t>
  </si>
  <si>
    <t>S_PO4</t>
  </si>
  <si>
    <t>S_I</t>
  </si>
  <si>
    <t>S_ALK</t>
  </si>
  <si>
    <t>X_I</t>
  </si>
  <si>
    <t>X_S</t>
  </si>
  <si>
    <t>X_H</t>
  </si>
  <si>
    <t>X_PAO</t>
  </si>
  <si>
    <t>X_PP</t>
  </si>
  <si>
    <t>X_PHA</t>
  </si>
  <si>
    <t>X_AOB</t>
  </si>
  <si>
    <t>X_NOB</t>
  </si>
  <si>
    <t>X_MeP</t>
  </si>
  <si>
    <t>X_MeOH</t>
  </si>
  <si>
    <t>Aerobic hydrolysis</t>
  </si>
  <si>
    <t>Anoxic hydrolysis (NO2)</t>
  </si>
  <si>
    <t>Anoxic hydrolysis (NO3)</t>
  </si>
  <si>
    <t>Anaerobic hydrolysis</t>
  </si>
  <si>
    <t>Aerobic growth on S_F</t>
  </si>
  <si>
    <t>Aerobic growth on S_A</t>
  </si>
  <si>
    <t>Anoxic growth on S_F (NO3 -&gt; NO2)</t>
  </si>
  <si>
    <t>Anoxic growth on S_F (NO2 -&gt; N2)</t>
  </si>
  <si>
    <t>Anoxic growth on S_A (NO3 -&gt; NO2)</t>
  </si>
  <si>
    <t>Anoxic growth on S_A (NO2 -&gt; N2)</t>
  </si>
  <si>
    <t>Fermentation</t>
  </si>
  <si>
    <t>Lysis of X_H</t>
  </si>
  <si>
    <t>Storage of X_PHA</t>
  </si>
  <si>
    <t>Aerobic storage of X_PP</t>
  </si>
  <si>
    <t>Anoxic storage of X_PP (NO3 -&gt; NO2)</t>
  </si>
  <si>
    <t>Anoxic storage of X_PP (NO2 -&gt; N2)</t>
  </si>
  <si>
    <t>Aerobic growth (PAO)</t>
  </si>
  <si>
    <t>Anoxic growth (PAO, NO3 -&gt; NO2)</t>
  </si>
  <si>
    <t>Anoxic growth (PAO, NO2 -&gt; N2)</t>
  </si>
  <si>
    <t>Lysis of X_PAO</t>
  </si>
  <si>
    <t>Lysis of X_PP</t>
  </si>
  <si>
    <t>Lysis of X_PHA</t>
  </si>
  <si>
    <t>Aerobic growth of X_AOB</t>
  </si>
  <si>
    <t>Aerobic growth of X_NOB</t>
  </si>
  <si>
    <t>Lysis of X_AOB</t>
  </si>
  <si>
    <t>Lysis of X_NOB</t>
  </si>
  <si>
    <t>Precipitation</t>
  </si>
  <si>
    <t>Redissolution</t>
  </si>
  <si>
    <t>state_group</t>
  </si>
  <si>
    <t>state_variable</t>
  </si>
  <si>
    <t>unit</t>
  </si>
  <si>
    <t>COD</t>
  </si>
  <si>
    <t>TN</t>
  </si>
  <si>
    <t>TP</t>
  </si>
  <si>
    <t>TSS</t>
  </si>
  <si>
    <t>Dissolved</t>
  </si>
  <si>
    <t>g O2/m^3</t>
  </si>
  <si>
    <t>g COD/m^3</t>
  </si>
  <si>
    <t>g N/m^3</t>
  </si>
  <si>
    <t>g P/m^3</t>
  </si>
  <si>
    <t>mol/m^3</t>
  </si>
  <si>
    <t>Particulate</t>
  </si>
  <si>
    <t>g TSS/m^3</t>
  </si>
  <si>
    <t>category</t>
  </si>
  <si>
    <t>symbol</t>
  </si>
  <si>
    <t>excel_name</t>
  </si>
  <si>
    <t>description</t>
  </si>
  <si>
    <t>value</t>
  </si>
  <si>
    <t>Stoichiometric Parameters</t>
  </si>
  <si>
    <t>Y_H</t>
  </si>
  <si>
    <t>Yield coefficient for heterotrophic biomass</t>
  </si>
  <si>
    <t>g COD/g COD</t>
  </si>
  <si>
    <t>Y_PAO</t>
  </si>
  <si>
    <t>Yield coefficient for PAO biomass</t>
  </si>
  <si>
    <t>Y_PHA</t>
  </si>
  <si>
    <t>PHA requirement for PP storage</t>
  </si>
  <si>
    <t>g COD/g P</t>
  </si>
  <si>
    <t>Y_PO4</t>
  </si>
  <si>
    <t>PO4 release per PHA stored</t>
  </si>
  <si>
    <t>g P/g COD</t>
  </si>
  <si>
    <t>Y_AOB</t>
  </si>
  <si>
    <t>Yield coefficient for AOB biomass</t>
  </si>
  <si>
    <t>g COD/g N</t>
  </si>
  <si>
    <t>Y_NOB</t>
  </si>
  <si>
    <t>Yield coefficient for NOB biomass</t>
  </si>
  <si>
    <t>f_SI</t>
  </si>
  <si>
    <t>Production of S_I in hydrolysis</t>
  </si>
  <si>
    <t>f_XI</t>
  </si>
  <si>
    <t>Fraction of inert COD generated in biomass lysis</t>
  </si>
  <si>
    <t>Composition Parameters</t>
  </si>
  <si>
    <t>i_NSI</t>
  </si>
  <si>
    <t>Nitrogen content of S_I</t>
  </si>
  <si>
    <t>g N/g COD</t>
  </si>
  <si>
    <t>i_NSF</t>
  </si>
  <si>
    <t>Nitrogen content of S_F</t>
  </si>
  <si>
    <t>i_NXI</t>
  </si>
  <si>
    <t>Nitrogen content of X_I</t>
  </si>
  <si>
    <t>i_NXS</t>
  </si>
  <si>
    <t>Nitrogen content of X_S</t>
  </si>
  <si>
    <t>i_NBM</t>
  </si>
  <si>
    <t>Nitrogen content of biomass</t>
  </si>
  <si>
    <t>i_PSI</t>
  </si>
  <si>
    <t>Phosphorus content of S_I</t>
  </si>
  <si>
    <t>i_PSF</t>
  </si>
  <si>
    <t>Phosphorus content of S_F</t>
  </si>
  <si>
    <t>i_PXI</t>
  </si>
  <si>
    <t>Phosphorus content of X_I</t>
  </si>
  <si>
    <t>i_PXS</t>
  </si>
  <si>
    <t>Phosphorus content of X_S</t>
  </si>
  <si>
    <t>i_PBM</t>
  </si>
  <si>
    <t>Phosphorus content of biomass</t>
  </si>
  <si>
    <t>i_TSS_XI</t>
  </si>
  <si>
    <t>TSS to COD ratio for X_I</t>
  </si>
  <si>
    <t>g TSS/g COD</t>
  </si>
  <si>
    <t>i_TSS_XS</t>
  </si>
  <si>
    <t>TSS to COD ratio for X_S</t>
  </si>
  <si>
    <t>i_TSS_BM</t>
  </si>
  <si>
    <t>TSS to COD ratio for biomass</t>
  </si>
  <si>
    <t>i_TSS_PHA</t>
  </si>
  <si>
    <t>TSS to COD ratio for X_PHA used in the TSS composite definition</t>
  </si>
  <si>
    <t>i_TSS_PP</t>
  </si>
  <si>
    <t>TSS to P ratio for X_PP used in the TSS composite definition</t>
  </si>
  <si>
    <t>g TSS/g P</t>
  </si>
  <si>
    <t>i_PMeP</t>
  </si>
  <si>
    <t>Phosphorus content of X_MeP derived from the precipitation stoichiometry</t>
  </si>
  <si>
    <t>g P/g TSS</t>
  </si>
  <si>
    <t>Kinetic Parameters (Hydrolysis)</t>
  </si>
  <si>
    <t>K_H</t>
  </si>
  <si>
    <t>Hydrolysis rate constant</t>
  </si>
  <si>
    <t>d^-1</t>
  </si>
  <si>
    <t>eta_hyd_NO3</t>
  </si>
  <si>
    <t>Anoxic hydrolysis reduction factor via nitrate</t>
  </si>
  <si>
    <t>-</t>
  </si>
  <si>
    <t>eta_hyd_NO2</t>
  </si>
  <si>
    <t>Anoxic hydrolysis reduction factor via nitrite</t>
  </si>
  <si>
    <t>eta_hyd_fe</t>
  </si>
  <si>
    <t>Anaerobic hydrolysis reduction factor</t>
  </si>
  <si>
    <t>K_O_hyd</t>
  </si>
  <si>
    <t>Oxygen saturation coefficient for hydrolysis</t>
  </si>
  <si>
    <t>K_NO3_hyd</t>
  </si>
  <si>
    <t>Nitrate saturation coefficient for hydrolysis</t>
  </si>
  <si>
    <t>K_NO2_hyd</t>
  </si>
  <si>
    <t>Nitrite saturation coefficient for hydrolysis</t>
  </si>
  <si>
    <t>K_NOX_hyd</t>
  </si>
  <si>
    <t>Nitrogen oxide inhibition term for anaerobic hydrolysis</t>
  </si>
  <si>
    <t>K_X</t>
  </si>
  <si>
    <t>Saturation coefficient for particulate COD</t>
  </si>
  <si>
    <t>g X_S/g X_H</t>
  </si>
  <si>
    <t>Kinetic Parameters (Heterotrophs)</t>
  </si>
  <si>
    <t>mu_H</t>
  </si>
  <si>
    <t>Maximum growth rate on substrate</t>
  </si>
  <si>
    <t>q_Fe</t>
  </si>
  <si>
    <t>Maximum rate factor for fermentation</t>
  </si>
  <si>
    <t>eta_H_NO3</t>
  </si>
  <si>
    <t>Reduction factor for heterotrophic denitrification via nitrate</t>
  </si>
  <si>
    <t>eta_H_NO2</t>
  </si>
  <si>
    <t>Reduction factor for heterotrophic denitrification via nitrite</t>
  </si>
  <si>
    <t>b_H</t>
  </si>
  <si>
    <t>Rate constant for lysis and decay</t>
  </si>
  <si>
    <t>K_O_H</t>
  </si>
  <si>
    <t>Oxygen saturation coefficient for heterotrophs</t>
  </si>
  <si>
    <t>K_F</t>
  </si>
  <si>
    <t>Saturation coefficient for growth on S_F</t>
  </si>
  <si>
    <t>K_fe</t>
  </si>
  <si>
    <t>Saturation coefficient for fermentation of S_F</t>
  </si>
  <si>
    <t>K_A</t>
  </si>
  <si>
    <t>Saturation coefficient for S_A</t>
  </si>
  <si>
    <t>K_NO3_H</t>
  </si>
  <si>
    <t>Nitrate saturation coefficient for heterotrophs</t>
  </si>
  <si>
    <t>K_NO2_H</t>
  </si>
  <si>
    <t>Nitrite saturation coefficient for heterotrophs</t>
  </si>
  <si>
    <t>K_NOX_H</t>
  </si>
  <si>
    <t>Nitrogen oxide inhibition term for fermentation</t>
  </si>
  <si>
    <t>K_NH4_H</t>
  </si>
  <si>
    <t>Ammonium saturation coefficient for heterotrophs</t>
  </si>
  <si>
    <t>K_PO4_H</t>
  </si>
  <si>
    <t>Phosphate saturation coefficient for heterotrophs</t>
  </si>
  <si>
    <t>K_ALK_H</t>
  </si>
  <si>
    <t>Alkalinity saturation coefficient for heterotrophs</t>
  </si>
  <si>
    <t>mol HCO3-/m^3</t>
  </si>
  <si>
    <t>Kinetic Parameters (PAOs)</t>
  </si>
  <si>
    <t>q_PHA</t>
  </si>
  <si>
    <t>Rate constant for storage of X_PHA</t>
  </si>
  <si>
    <t>q_PP</t>
  </si>
  <si>
    <t>Rate constant for storage of X_PP</t>
  </si>
  <si>
    <t>mu_PAO</t>
  </si>
  <si>
    <t>Maximum growth rate of PAO</t>
  </si>
  <si>
    <t>eta_PAO_NO3</t>
  </si>
  <si>
    <t>Reduction factor for PAO denitrification via nitrate</t>
  </si>
  <si>
    <t>eta_PAO_NO2</t>
  </si>
  <si>
    <t>Reduction factor for PAO denitrification via nitrite</t>
  </si>
  <si>
    <t>b_PAO</t>
  </si>
  <si>
    <t>Lysis rate of X_PAO</t>
  </si>
  <si>
    <t>b_PP</t>
  </si>
  <si>
    <t>Lysis rate of X_PP</t>
  </si>
  <si>
    <t>b_PHA</t>
  </si>
  <si>
    <t>Lysis rate of X_PHA</t>
  </si>
  <si>
    <t>K_O_PAO</t>
  </si>
  <si>
    <t>Oxygen saturation coefficient for PAO</t>
  </si>
  <si>
    <t>K_NO3_PAO</t>
  </si>
  <si>
    <t>Nitrate saturation coefficient for PAO</t>
  </si>
  <si>
    <t>K_NO2_PAO</t>
  </si>
  <si>
    <t>Nitrite saturation coefficient for PAO</t>
  </si>
  <si>
    <t>K_NOX_PAO</t>
  </si>
  <si>
    <t>Nitrogen oxide saturation coefficient reported for PAO</t>
  </si>
  <si>
    <t>K_NH4_PAO</t>
  </si>
  <si>
    <t>Ammonium saturation coefficient for PAO growth</t>
  </si>
  <si>
    <t>K_PS</t>
  </si>
  <si>
    <t>Phosphorus saturation coefficient for PP storage</t>
  </si>
  <si>
    <t>K_PO4_PAO</t>
  </si>
  <si>
    <t>Phosphate saturation coefficient for PAO growth</t>
  </si>
  <si>
    <t>K_ALK_PAO</t>
  </si>
  <si>
    <t>Alkalinity saturation coefficient for PAO</t>
  </si>
  <si>
    <t>K_PP</t>
  </si>
  <si>
    <t>Poly-phosphate saturation coefficient</t>
  </si>
  <si>
    <t>g X_PP/g X_PAO</t>
  </si>
  <si>
    <t>K_MAX</t>
  </si>
  <si>
    <t>Maximum X_PP to X_PAO ratio</t>
  </si>
  <si>
    <t>K_IPP</t>
  </si>
  <si>
    <t>Inhibition coefficient for PP storage</t>
  </si>
  <si>
    <t>K_PHA</t>
  </si>
  <si>
    <t>PHA saturation coefficient</t>
  </si>
  <si>
    <t>g X_PHA/g X_PAO</t>
  </si>
  <si>
    <t>Kinetic Parameters (AOB and NOB)</t>
  </si>
  <si>
    <t>mu_AOB</t>
  </si>
  <si>
    <t>Maximum growth rate of AOB</t>
  </si>
  <si>
    <t>mu_NOB</t>
  </si>
  <si>
    <t>Maximum growth rate of NOB</t>
  </si>
  <si>
    <t>b_AOB</t>
  </si>
  <si>
    <t>Decay rate of AOB</t>
  </si>
  <si>
    <t>b_NOB</t>
  </si>
  <si>
    <t>Decay rate of NOB</t>
  </si>
  <si>
    <t>K_O_AOB</t>
  </si>
  <si>
    <t>Oxygen saturation coefficient for AOB</t>
  </si>
  <si>
    <t>K_O_NOB</t>
  </si>
  <si>
    <t>Oxygen saturation coefficient for NOB</t>
  </si>
  <si>
    <t>K_NH4_AOB</t>
  </si>
  <si>
    <t>Ammonium saturation coefficient for AOB</t>
  </si>
  <si>
    <t>K_NO2_NOB</t>
  </si>
  <si>
    <t>Nitrite saturation coefficient for NOB</t>
  </si>
  <si>
    <t>K_ALK_nit</t>
  </si>
  <si>
    <t>Alkalinity saturation coefficient for nitrifiers</t>
  </si>
  <si>
    <t>K_PO4_nit</t>
  </si>
  <si>
    <t>Phosphate saturation coefficient for nitrifiers</t>
  </si>
  <si>
    <t>Precipitation Parameters</t>
  </si>
  <si>
    <t>k_PRE</t>
  </si>
  <si>
    <t>Rate constant for phosphorus precipitation</t>
  </si>
  <si>
    <t>m^3/(g Fe(OH)3*d)</t>
  </si>
  <si>
    <t>k_RED</t>
  </si>
  <si>
    <t>Rate constant for redissolution</t>
  </si>
  <si>
    <t>K_ALK_chem</t>
  </si>
  <si>
    <t>Alkalinity saturation coefficient for redissolution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</si>
</sst>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2" x14ac:knownFonts="1">
    <font>
      <sz val="11"/>
      <color theme="1"/>
      <name val="Calibri"/>
      <family val="2"/>
      <scheme val="minor"/>
    </font>
    <font>
      <b/>
      <sz val="11"/>
      <color rgb="FF22303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EE6"/>
      </patternFill>
    </fill>
    <fill>
      <patternFill patternType="solid">
        <fgColor rgb="FFEE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5" customWidth="1"/>
    <col min="2" max="2" width="37" customWidth="1"/>
    <col min="3" max="3" width="48" customWidth="1"/>
    <col min="4" max="5" width="28" customWidth="1"/>
    <col min="6" max="10" width="48" customWidth="1"/>
    <col min="11" max="11" width="25" customWidth="1"/>
    <col min="12" max="12" width="30" customWidth="1"/>
    <col min="13" max="13" width="25" customWidth="1"/>
    <col min="14" max="14" width="27" customWidth="1"/>
    <col min="15" max="16" width="12" customWidth="1"/>
    <col min="17" max="17" width="26" customWidth="1"/>
    <col min="18" max="18" width="28" customWidth="1"/>
    <col min="19" max="22" width="12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</v>
      </c>
      <c r="B2" t="s">
        <v>22</v>
      </c>
      <c r="D2">
        <f>1-parameter_table!$E$8</f>
        <v>1</v>
      </c>
      <c r="F2">
        <f>-(D2*(parameter_table!$E$11)+K2*(parameter_table!$E$10)+I2+G2+H2+M2*(parameter_table!$E$12)+N2*(parameter_table!$E$13)+O2*(parameter_table!$E$14)+P2*(parameter_table!$E$14)+S2*(parameter_table!$E$14)+T2*(parameter_table!$E$14))</f>
        <v>0</v>
      </c>
      <c r="J2">
        <f>-(D2*(parameter_table!$E$16)+K2*(parameter_table!$E$15)+M2*(parameter_table!$E$17)+N2*(parameter_table!$E$18)+O2*(parameter_table!$E$19)+P2*(parameter_table!$E$19)+Q2+S2*(parameter_table!$E$19)+T2*(parameter_table!$E$19)+U2*(parameter_table!$E$25))</f>
        <v>0</v>
      </c>
      <c r="K2">
        <f>parameter_table!$E$8</f>
        <v>0</v>
      </c>
      <c r="L2">
        <f t="shared" ref="L2:L29" si="0">F2/14-G2/14-H2/14+J2/31</f>
        <v>0</v>
      </c>
      <c r="N2">
        <f>-1</f>
        <v>-1</v>
      </c>
    </row>
    <row r="3" spans="1:22" x14ac:dyDescent="0.35">
      <c r="A3">
        <v>2</v>
      </c>
      <c r="B3" t="s">
        <v>23</v>
      </c>
      <c r="D3">
        <f>1-parameter_table!$E$8</f>
        <v>1</v>
      </c>
      <c r="F3">
        <f>-(D3*(parameter_table!$E$11)+K3*(parameter_table!$E$10)+I3+G3+H3+M3*(parameter_table!$E$12)+N3*(parameter_table!$E$13)+O3*(parameter_table!$E$14)+P3*(parameter_table!$E$14)+S3*(parameter_table!$E$14)+T3*(parameter_table!$E$14))</f>
        <v>0</v>
      </c>
      <c r="J3">
        <f>-(D3*(parameter_table!$E$16)+K3*(parameter_table!$E$15)+M3*(parameter_table!$E$17)+N3*(parameter_table!$E$18)+O3*(parameter_table!$E$19)+P3*(parameter_table!$E$19)+Q3+S3*(parameter_table!$E$19)+T3*(parameter_table!$E$19)+U3*(parameter_table!$E$25))</f>
        <v>0</v>
      </c>
      <c r="K3">
        <f>parameter_table!$E$8</f>
        <v>0</v>
      </c>
      <c r="L3">
        <f t="shared" si="0"/>
        <v>0</v>
      </c>
      <c r="N3">
        <f>-1</f>
        <v>-1</v>
      </c>
    </row>
    <row r="4" spans="1:22" x14ac:dyDescent="0.35">
      <c r="A4">
        <v>3</v>
      </c>
      <c r="B4" t="s">
        <v>24</v>
      </c>
      <c r="D4">
        <f>1-parameter_table!$E$8</f>
        <v>1</v>
      </c>
      <c r="F4">
        <f>-(D4*(parameter_table!$E$11)+K4*(parameter_table!$E$10)+I4+G4+H4+M4*(parameter_table!$E$12)+N4*(parameter_table!$E$13)+O4*(parameter_table!$E$14)+P4*(parameter_table!$E$14)+S4*(parameter_table!$E$14)+T4*(parameter_table!$E$14))</f>
        <v>0</v>
      </c>
      <c r="J4">
        <f>-(D4*(parameter_table!$E$16)+K4*(parameter_table!$E$15)+M4*(parameter_table!$E$17)+N4*(parameter_table!$E$18)+O4*(parameter_table!$E$19)+P4*(parameter_table!$E$19)+Q4+S4*(parameter_table!$E$19)+T4*(parameter_table!$E$19)+U4*(parameter_table!$E$25))</f>
        <v>0</v>
      </c>
      <c r="K4">
        <f>parameter_table!$E$8</f>
        <v>0</v>
      </c>
      <c r="L4">
        <f t="shared" si="0"/>
        <v>0</v>
      </c>
      <c r="N4">
        <f>-1</f>
        <v>-1</v>
      </c>
    </row>
    <row r="5" spans="1:22" x14ac:dyDescent="0.35">
      <c r="A5">
        <v>4</v>
      </c>
      <c r="B5" t="s">
        <v>25</v>
      </c>
      <c r="D5">
        <f>1-parameter_table!$E$8</f>
        <v>1</v>
      </c>
      <c r="F5">
        <f>-(D5*(parameter_table!$E$11)+K5*(parameter_table!$E$10)+I5+G5+H5+M5*(parameter_table!$E$12)+N5*(parameter_table!$E$13)+O5*(parameter_table!$E$14)+P5*(parameter_table!$E$14)+S5*(parameter_table!$E$14)+T5*(parameter_table!$E$14))</f>
        <v>0</v>
      </c>
      <c r="J5">
        <f>-(D5*(parameter_table!$E$16)+K5*(parameter_table!$E$15)+M5*(parameter_table!$E$17)+N5*(parameter_table!$E$18)+O5*(parameter_table!$E$19)+P5*(parameter_table!$E$19)+Q5+S5*(parameter_table!$E$19)+T5*(parameter_table!$E$19)+U5*(parameter_table!$E$25))</f>
        <v>0</v>
      </c>
      <c r="K5">
        <f>parameter_table!$E$8</f>
        <v>0</v>
      </c>
      <c r="L5">
        <f t="shared" si="0"/>
        <v>0</v>
      </c>
      <c r="N5">
        <f>-1</f>
        <v>-1</v>
      </c>
    </row>
    <row r="6" spans="1:22" x14ac:dyDescent="0.35">
      <c r="A6">
        <v>5</v>
      </c>
      <c r="B6" t="s">
        <v>26</v>
      </c>
      <c r="C6">
        <f>1-1/parameter_table!$E$2</f>
        <v>-0.60000000000000009</v>
      </c>
      <c r="D6">
        <f>-1/parameter_table!$E$2</f>
        <v>-1.6</v>
      </c>
      <c r="F6">
        <f>-(D6*(parameter_table!$E$11)+K6*(parameter_table!$E$10)+I6+G6+H6+M6*(parameter_table!$E$12)+N6*(parameter_table!$E$13)+O6*(parameter_table!$E$14)+P6*(parameter_table!$E$14)+S6*(parameter_table!$E$14)+T6*(parameter_table!$E$14))</f>
        <v>-7.0000000000000007E-2</v>
      </c>
      <c r="J6">
        <f>-(D6*(parameter_table!$E$16)+K6*(parameter_table!$E$15)+M6*(parameter_table!$E$17)+N6*(parameter_table!$E$18)+O6*(parameter_table!$E$19)+P6*(parameter_table!$E$19)+Q6+S6*(parameter_table!$E$19)+T6*(parameter_table!$E$19)+U6*(parameter_table!$E$25))</f>
        <v>-0.02</v>
      </c>
      <c r="L6">
        <f t="shared" si="0"/>
        <v>-5.6451612903225812E-3</v>
      </c>
      <c r="O6">
        <f>1</f>
        <v>1</v>
      </c>
    </row>
    <row r="7" spans="1:22" x14ac:dyDescent="0.35">
      <c r="A7">
        <v>6</v>
      </c>
      <c r="B7" t="s">
        <v>27</v>
      </c>
      <c r="C7">
        <f>1-1/parameter_table!$E$2</f>
        <v>-0.60000000000000009</v>
      </c>
      <c r="E7">
        <f>-1/parameter_table!$E$2</f>
        <v>-1.6</v>
      </c>
      <c r="F7">
        <f>-(D7*(parameter_table!$E$11)+K7*(parameter_table!$E$10)+I7+G7+H7+M7*(parameter_table!$E$12)+N7*(parameter_table!$E$13)+O7*(parameter_table!$E$14)+P7*(parameter_table!$E$14)+S7*(parameter_table!$E$14)+T7*(parameter_table!$E$14))</f>
        <v>-7.0000000000000007E-2</v>
      </c>
      <c r="J7">
        <f>-(D7*(parameter_table!$E$16)+K7*(parameter_table!$E$15)+M7*(parameter_table!$E$17)+N7*(parameter_table!$E$18)+O7*(parameter_table!$E$19)+P7*(parameter_table!$E$19)+Q7+S7*(parameter_table!$E$19)+T7*(parameter_table!$E$19)+U7*(parameter_table!$E$25))</f>
        <v>-0.02</v>
      </c>
      <c r="L7">
        <f t="shared" si="0"/>
        <v>-5.6451612903225812E-3</v>
      </c>
      <c r="O7">
        <f>1</f>
        <v>1</v>
      </c>
    </row>
    <row r="8" spans="1:22" x14ac:dyDescent="0.35">
      <c r="A8">
        <v>7</v>
      </c>
      <c r="B8" t="s">
        <v>28</v>
      </c>
      <c r="D8">
        <f>-1/parameter_table!$E$2</f>
        <v>-1.6</v>
      </c>
      <c r="F8">
        <f>-(D8*(parameter_table!$E$11)+K8*(parameter_table!$E$10)+I8+G8+H8+M8*(parameter_table!$E$12)+N8*(parameter_table!$E$13)+O8*(parameter_table!$E$14)+P8*(parameter_table!$E$14)+S8*(parameter_table!$E$14)+T8*(parameter_table!$E$14))</f>
        <v>-7.0000000000000007E-2</v>
      </c>
      <c r="G8">
        <f>(1-parameter_table!$E$2)/((8/7)*parameter_table!$E$2)</f>
        <v>0.52500000000000002</v>
      </c>
      <c r="H8">
        <f>-((1-parameter_table!$E$2)/((8/7)*parameter_table!$E$2))</f>
        <v>-0.52500000000000002</v>
      </c>
      <c r="J8">
        <f>-(D8*(parameter_table!$E$16)+K8*(parameter_table!$E$15)+M8*(parameter_table!$E$17)+N8*(parameter_table!$E$18)+O8*(parameter_table!$E$19)+P8*(parameter_table!$E$19)+Q8+S8*(parameter_table!$E$19)+T8*(parameter_table!$E$19)+U8*(parameter_table!$E$25))</f>
        <v>-0.02</v>
      </c>
      <c r="L8">
        <f t="shared" si="0"/>
        <v>-5.6451612903225777E-3</v>
      </c>
      <c r="O8">
        <f>1</f>
        <v>1</v>
      </c>
    </row>
    <row r="9" spans="1:22" x14ac:dyDescent="0.35">
      <c r="A9">
        <v>8</v>
      </c>
      <c r="B9" t="s">
        <v>29</v>
      </c>
      <c r="D9">
        <f>-1/parameter_table!$E$2</f>
        <v>-1.6</v>
      </c>
      <c r="F9">
        <f>-(D9*(parameter_table!$E$11)+K9*(parameter_table!$E$10)+I9+G9+H9+M9*(parameter_table!$E$12)+N9*(parameter_table!$E$13)+O9*(parameter_table!$E$14)+P9*(parameter_table!$E$14)+S9*(parameter_table!$E$14)+T9*(parameter_table!$E$14))</f>
        <v>-7.0000000000000007E-2</v>
      </c>
      <c r="G9">
        <f>-((1-parameter_table!$E$2)/(1.72*parameter_table!$E$2))</f>
        <v>-0.34883720930232559</v>
      </c>
      <c r="I9">
        <f>(1-parameter_table!$E$2)/(1.72*parameter_table!$E$2)</f>
        <v>0.34883720930232559</v>
      </c>
      <c r="J9">
        <f>-(D9*(parameter_table!$E$16)+K9*(parameter_table!$E$15)+M9*(parameter_table!$E$17)+N9*(parameter_table!$E$18)+O9*(parameter_table!$E$19)+P9*(parameter_table!$E$19)+Q9+S9*(parameter_table!$E$19)+T9*(parameter_table!$E$19)+U9*(parameter_table!$E$25))</f>
        <v>-0.02</v>
      </c>
      <c r="L9">
        <f t="shared" si="0"/>
        <v>1.9271782231272103E-2</v>
      </c>
      <c r="O9">
        <f>1</f>
        <v>1</v>
      </c>
    </row>
    <row r="10" spans="1:22" x14ac:dyDescent="0.35">
      <c r="A10">
        <v>9</v>
      </c>
      <c r="B10" t="s">
        <v>30</v>
      </c>
      <c r="E10">
        <f>-1/parameter_table!$E$2</f>
        <v>-1.6</v>
      </c>
      <c r="F10">
        <f>-(D10*(parameter_table!$E$11)+K10*(parameter_table!$E$10)+I10+G10+H10+M10*(parameter_table!$E$12)+N10*(parameter_table!$E$13)+O10*(parameter_table!$E$14)+P10*(parameter_table!$E$14)+S10*(parameter_table!$E$14)+T10*(parameter_table!$E$14))</f>
        <v>-7.0000000000000007E-2</v>
      </c>
      <c r="G10">
        <f>(1-parameter_table!$E$2)/((8/7)*parameter_table!$E$2)</f>
        <v>0.52500000000000002</v>
      </c>
      <c r="H10">
        <f>-((1-parameter_table!$E$2)/((8/7)*parameter_table!$E$2))</f>
        <v>-0.52500000000000002</v>
      </c>
      <c r="J10">
        <f>-(D10*(parameter_table!$E$16)+K10*(parameter_table!$E$15)+M10*(parameter_table!$E$17)+N10*(parameter_table!$E$18)+O10*(parameter_table!$E$19)+P10*(parameter_table!$E$19)+Q10+S10*(parameter_table!$E$19)+T10*(parameter_table!$E$19)+U10*(parameter_table!$E$25))</f>
        <v>-0.02</v>
      </c>
      <c r="L10">
        <f t="shared" si="0"/>
        <v>-5.6451612903225777E-3</v>
      </c>
      <c r="O10">
        <f>1</f>
        <v>1</v>
      </c>
    </row>
    <row r="11" spans="1:22" x14ac:dyDescent="0.35">
      <c r="A11">
        <v>10</v>
      </c>
      <c r="B11" t="s">
        <v>31</v>
      </c>
      <c r="E11">
        <f>-1/parameter_table!$E$2</f>
        <v>-1.6</v>
      </c>
      <c r="F11">
        <f>-(D11*(parameter_table!$E$11)+K11*(parameter_table!$E$10)+I11+G11+H11+M11*(parameter_table!$E$12)+N11*(parameter_table!$E$13)+O11*(parameter_table!$E$14)+P11*(parameter_table!$E$14)+S11*(parameter_table!$E$14)+T11*(parameter_table!$E$14))</f>
        <v>-7.0000000000000007E-2</v>
      </c>
      <c r="G11">
        <f>-((1-parameter_table!$E$2)/(1.72*parameter_table!$E$2))</f>
        <v>-0.34883720930232559</v>
      </c>
      <c r="I11">
        <f>(1-parameter_table!$E$2)/(1.72*parameter_table!$E$2)</f>
        <v>0.34883720930232559</v>
      </c>
      <c r="J11">
        <f>-(D11*(parameter_table!$E$16)+K11*(parameter_table!$E$15)+M11*(parameter_table!$E$17)+N11*(parameter_table!$E$18)+O11*(parameter_table!$E$19)+P11*(parameter_table!$E$19)+Q11+S11*(parameter_table!$E$19)+T11*(parameter_table!$E$19)+U11*(parameter_table!$E$25))</f>
        <v>-0.02</v>
      </c>
      <c r="L11">
        <f t="shared" si="0"/>
        <v>1.9271782231272103E-2</v>
      </c>
      <c r="O11">
        <f>1</f>
        <v>1</v>
      </c>
    </row>
    <row r="12" spans="1:22" x14ac:dyDescent="0.35">
      <c r="A12">
        <v>11</v>
      </c>
      <c r="B12" t="s">
        <v>32</v>
      </c>
      <c r="D12">
        <f>-1</f>
        <v>-1</v>
      </c>
      <c r="E12">
        <f>1</f>
        <v>1</v>
      </c>
      <c r="F12">
        <f>-(D12*(parameter_table!$E$11)+K12*(parameter_table!$E$10)+I12+G12+H12+M12*(parameter_table!$E$12)+N12*(parameter_table!$E$13)+O12*(parameter_table!$E$14)+P12*(parameter_table!$E$14)+S12*(parameter_table!$E$14)+T12*(parameter_table!$E$14))</f>
        <v>0</v>
      </c>
      <c r="J12">
        <f>-(D12*(parameter_table!$E$16)+K12*(parameter_table!$E$15)+M12*(parameter_table!$E$17)+N12*(parameter_table!$E$18)+O12*(parameter_table!$E$19)+P12*(parameter_table!$E$19)+Q12+S12*(parameter_table!$E$19)+T12*(parameter_table!$E$19)+U12*(parameter_table!$E$25))</f>
        <v>0</v>
      </c>
      <c r="L12">
        <f t="shared" si="0"/>
        <v>0</v>
      </c>
    </row>
    <row r="13" spans="1:22" x14ac:dyDescent="0.35">
      <c r="A13">
        <v>12</v>
      </c>
      <c r="B13" t="s">
        <v>33</v>
      </c>
      <c r="F13">
        <f>-(D13*(parameter_table!$E$11)+K13*(parameter_table!$E$10)+I13+G13+H13+M13*(parameter_table!$E$12)+N13*(parameter_table!$E$13)+O13*(parameter_table!$E$14)+P13*(parameter_table!$E$14)+S13*(parameter_table!$E$14)+T13*(parameter_table!$E$14))</f>
        <v>6.8000000000000005E-2</v>
      </c>
      <c r="J13">
        <f>-(D13*(parameter_table!$E$16)+K13*(parameter_table!$E$15)+M13*(parameter_table!$E$17)+N13*(parameter_table!$E$18)+O13*(parameter_table!$E$19)+P13*(parameter_table!$E$19)+Q13+S13*(parameter_table!$E$19)+T13*(parameter_table!$E$19)+U13*(parameter_table!$E$25))</f>
        <v>1.9E-2</v>
      </c>
      <c r="L13">
        <f t="shared" si="0"/>
        <v>5.470046082949309E-3</v>
      </c>
      <c r="M13">
        <f>parameter_table!$E$9</f>
        <v>0.1</v>
      </c>
      <c r="N13">
        <f>1-parameter_table!$E$9</f>
        <v>0.9</v>
      </c>
      <c r="O13">
        <f>-1</f>
        <v>-1</v>
      </c>
    </row>
    <row r="14" spans="1:22" x14ac:dyDescent="0.35">
      <c r="A14">
        <v>13</v>
      </c>
      <c r="B14" t="s">
        <v>34</v>
      </c>
      <c r="E14">
        <f>-1</f>
        <v>-1</v>
      </c>
      <c r="F14">
        <f>-(D14*(parameter_table!$E$11)+K14*(parameter_table!$E$10)+I14+G14+H14+M14*(parameter_table!$E$12)+N14*(parameter_table!$E$13)+O14*(parameter_table!$E$14)+P14*(parameter_table!$E$14)+S14*(parameter_table!$E$14)+T14*(parameter_table!$E$14))</f>
        <v>0</v>
      </c>
      <c r="J14">
        <f>-(D14*(parameter_table!$E$16)+K14*(parameter_table!$E$15)+M14*(parameter_table!$E$17)+N14*(parameter_table!$E$18)+O14*(parameter_table!$E$19)+P14*(parameter_table!$E$19)+Q14+S14*(parameter_table!$E$19)+T14*(parameter_table!$E$19)+U14*(parameter_table!$E$25))</f>
        <v>0.4</v>
      </c>
      <c r="L14">
        <f t="shared" si="0"/>
        <v>1.2903225806451613E-2</v>
      </c>
      <c r="Q14">
        <f>-parameter_table!$E$5</f>
        <v>-0.4</v>
      </c>
      <c r="R14">
        <f>1</f>
        <v>1</v>
      </c>
    </row>
    <row r="15" spans="1:22" x14ac:dyDescent="0.35">
      <c r="A15">
        <v>14</v>
      </c>
      <c r="B15" t="s">
        <v>35</v>
      </c>
      <c r="C15">
        <f>-parameter_table!$E$4</f>
        <v>-0.2</v>
      </c>
      <c r="F15">
        <f>-(D15*(parameter_table!$E$11)+K15*(parameter_table!$E$10)+I15+G15+H15+M15*(parameter_table!$E$12)+N15*(parameter_table!$E$13)+O15*(parameter_table!$E$14)+P15*(parameter_table!$E$14)+S15*(parameter_table!$E$14)+T15*(parameter_table!$E$14))</f>
        <v>0</v>
      </c>
      <c r="J15">
        <f>-(D15*(parameter_table!$E$16)+K15*(parameter_table!$E$15)+M15*(parameter_table!$E$17)+N15*(parameter_table!$E$18)+O15*(parameter_table!$E$19)+P15*(parameter_table!$E$19)+Q15+S15*(parameter_table!$E$19)+T15*(parameter_table!$E$19)+U15*(parameter_table!$E$25))</f>
        <v>-1</v>
      </c>
      <c r="L15">
        <f t="shared" si="0"/>
        <v>-3.2258064516129031E-2</v>
      </c>
      <c r="Q15">
        <f>1</f>
        <v>1</v>
      </c>
      <c r="R15">
        <f>-parameter_table!$E$4</f>
        <v>-0.2</v>
      </c>
    </row>
    <row r="16" spans="1:22" x14ac:dyDescent="0.35">
      <c r="A16">
        <v>15</v>
      </c>
      <c r="B16" t="s">
        <v>36</v>
      </c>
      <c r="F16">
        <f>-(D16*(parameter_table!$E$11)+K16*(parameter_table!$E$10)+I16+G16+H16+M16*(parameter_table!$E$12)+N16*(parameter_table!$E$13)+O16*(parameter_table!$E$14)+P16*(parameter_table!$E$14)+S16*(parameter_table!$E$14)+T16*(parameter_table!$E$14))</f>
        <v>0</v>
      </c>
      <c r="G16">
        <f>parameter_table!$E$4/(8/7)</f>
        <v>0.17500000000000002</v>
      </c>
      <c r="H16">
        <f>-(parameter_table!$E$4/(8/7))</f>
        <v>-0.17500000000000002</v>
      </c>
      <c r="J16">
        <f>-(D16*(parameter_table!$E$16)+K16*(parameter_table!$E$15)+M16*(parameter_table!$E$17)+N16*(parameter_table!$E$18)+O16*(parameter_table!$E$19)+P16*(parameter_table!$E$19)+Q16+S16*(parameter_table!$E$19)+T16*(parameter_table!$E$19)+U16*(parameter_table!$E$25))</f>
        <v>-1</v>
      </c>
      <c r="L16">
        <f t="shared" si="0"/>
        <v>-3.2258064516129031E-2</v>
      </c>
      <c r="Q16">
        <f>1</f>
        <v>1</v>
      </c>
      <c r="R16">
        <f>-parameter_table!$E$4</f>
        <v>-0.2</v>
      </c>
    </row>
    <row r="17" spans="1:22" x14ac:dyDescent="0.35">
      <c r="A17">
        <v>16</v>
      </c>
      <c r="B17" t="s">
        <v>37</v>
      </c>
      <c r="F17">
        <f>-(D17*(parameter_table!$E$11)+K17*(parameter_table!$E$10)+I17+G17+H17+M17*(parameter_table!$E$12)+N17*(parameter_table!$E$13)+O17*(parameter_table!$E$14)+P17*(parameter_table!$E$14)+S17*(parameter_table!$E$14)+T17*(parameter_table!$E$14))</f>
        <v>0</v>
      </c>
      <c r="G17">
        <f>-(parameter_table!$E$4/1.72)</f>
        <v>-0.11627906976744187</v>
      </c>
      <c r="I17">
        <f>parameter_table!$E$4/1.72</f>
        <v>0.11627906976744187</v>
      </c>
      <c r="J17">
        <f>-(D17*(parameter_table!$E$16)+K17*(parameter_table!$E$15)+M17*(parameter_table!$E$17)+N17*(parameter_table!$E$18)+O17*(parameter_table!$E$19)+P17*(parameter_table!$E$19)+Q17+S17*(parameter_table!$E$19)+T17*(parameter_table!$E$19)+U17*(parameter_table!$E$25))</f>
        <v>-1</v>
      </c>
      <c r="L17">
        <f t="shared" si="0"/>
        <v>-2.3952416675597471E-2</v>
      </c>
      <c r="Q17">
        <f>1</f>
        <v>1</v>
      </c>
      <c r="R17">
        <f>-parameter_table!$E$4</f>
        <v>-0.2</v>
      </c>
    </row>
    <row r="18" spans="1:22" x14ac:dyDescent="0.35">
      <c r="A18">
        <v>17</v>
      </c>
      <c r="B18" t="s">
        <v>38</v>
      </c>
      <c r="C18">
        <f>1-1/parameter_table!$E$3</f>
        <v>-0.60000000000000009</v>
      </c>
      <c r="F18">
        <f>-(D18*(parameter_table!$E$11)+K18*(parameter_table!$E$10)+I18+G18+H18+M18*(parameter_table!$E$12)+N18*(parameter_table!$E$13)+O18*(parameter_table!$E$14)+P18*(parameter_table!$E$14)+S18*(parameter_table!$E$14)+T18*(parameter_table!$E$14))</f>
        <v>-7.0000000000000007E-2</v>
      </c>
      <c r="J18">
        <f>-(D18*(parameter_table!$E$16)+K18*(parameter_table!$E$15)+M18*(parameter_table!$E$17)+N18*(parameter_table!$E$18)+O18*(parameter_table!$E$19)+P18*(parameter_table!$E$19)+Q18+S18*(parameter_table!$E$19)+T18*(parameter_table!$E$19)+U18*(parameter_table!$E$25))</f>
        <v>-0.02</v>
      </c>
      <c r="L18">
        <f t="shared" si="0"/>
        <v>-5.6451612903225812E-3</v>
      </c>
      <c r="P18">
        <f>1</f>
        <v>1</v>
      </c>
      <c r="R18">
        <f>-1/parameter_table!$E$3</f>
        <v>-1.6</v>
      </c>
    </row>
    <row r="19" spans="1:22" x14ac:dyDescent="0.35">
      <c r="A19">
        <v>18</v>
      </c>
      <c r="B19" t="s">
        <v>39</v>
      </c>
      <c r="F19">
        <f>-(D19*(parameter_table!$E$11)+K19*(parameter_table!$E$10)+I19+G19+H19+M19*(parameter_table!$E$12)+N19*(parameter_table!$E$13)+O19*(parameter_table!$E$14)+P19*(parameter_table!$E$14)+S19*(parameter_table!$E$14)+T19*(parameter_table!$E$14))</f>
        <v>-7.0000000000000007E-2</v>
      </c>
      <c r="G19">
        <f>(1-parameter_table!$E$3)/((8/7)*parameter_table!$E$3)</f>
        <v>0.52500000000000002</v>
      </c>
      <c r="H19">
        <f>-((1-parameter_table!$E$3)/((8/7)*parameter_table!$E$3))</f>
        <v>-0.52500000000000002</v>
      </c>
      <c r="J19">
        <f>-(D19*(parameter_table!$E$16)+K19*(parameter_table!$E$15)+M19*(parameter_table!$E$17)+N19*(parameter_table!$E$18)+O19*(parameter_table!$E$19)+P19*(parameter_table!$E$19)+Q19+S19*(parameter_table!$E$19)+T19*(parameter_table!$E$19)+U19*(parameter_table!$E$25))</f>
        <v>-0.02</v>
      </c>
      <c r="L19">
        <f t="shared" si="0"/>
        <v>-5.6451612903225777E-3</v>
      </c>
      <c r="P19">
        <f>1</f>
        <v>1</v>
      </c>
      <c r="R19">
        <f>-1/parameter_table!$E$3</f>
        <v>-1.6</v>
      </c>
    </row>
    <row r="20" spans="1:22" x14ac:dyDescent="0.35">
      <c r="A20">
        <v>19</v>
      </c>
      <c r="B20" t="s">
        <v>40</v>
      </c>
      <c r="F20">
        <f>-(D20*(parameter_table!$E$11)+K20*(parameter_table!$E$10)+I20+G20+H20+M20*(parameter_table!$E$12)+N20*(parameter_table!$E$13)+O20*(parameter_table!$E$14)+P20*(parameter_table!$E$14)+S20*(parameter_table!$E$14)+T20*(parameter_table!$E$14))</f>
        <v>-7.0000000000000007E-2</v>
      </c>
      <c r="G20">
        <f>-((1-parameter_table!$E$3)/(1.72*parameter_table!$E$3))</f>
        <v>-0.34883720930232559</v>
      </c>
      <c r="I20">
        <f>(1-parameter_table!$E$3)/(1.72*parameter_table!$E$3)</f>
        <v>0.34883720930232559</v>
      </c>
      <c r="J20">
        <f>-(D20*(parameter_table!$E$16)+K20*(parameter_table!$E$15)+M20*(parameter_table!$E$17)+N20*(parameter_table!$E$18)+O20*(parameter_table!$E$19)+P20*(parameter_table!$E$19)+Q20+S20*(parameter_table!$E$19)+T20*(parameter_table!$E$19)+U20*(parameter_table!$E$25))</f>
        <v>-0.02</v>
      </c>
      <c r="L20">
        <f t="shared" si="0"/>
        <v>1.9271782231272103E-2</v>
      </c>
      <c r="P20">
        <f>1</f>
        <v>1</v>
      </c>
      <c r="R20">
        <f>-1/parameter_table!$E$3</f>
        <v>-1.6</v>
      </c>
    </row>
    <row r="21" spans="1:22" x14ac:dyDescent="0.35">
      <c r="A21">
        <v>20</v>
      </c>
      <c r="B21" t="s">
        <v>41</v>
      </c>
      <c r="F21">
        <f>-(D21*(parameter_table!$E$11)+K21*(parameter_table!$E$10)+I21+G21+H21+M21*(parameter_table!$E$12)+N21*(parameter_table!$E$13)+O21*(parameter_table!$E$14)+P21*(parameter_table!$E$14)+S21*(parameter_table!$E$14)+T21*(parameter_table!$E$14))</f>
        <v>6.8000000000000005E-2</v>
      </c>
      <c r="J21">
        <f>-(D21*(parameter_table!$E$16)+K21*(parameter_table!$E$15)+M21*(parameter_table!$E$17)+N21*(parameter_table!$E$18)+O21*(parameter_table!$E$19)+P21*(parameter_table!$E$19)+Q21+S21*(parameter_table!$E$19)+T21*(parameter_table!$E$19)+U21*(parameter_table!$E$25))</f>
        <v>1.9E-2</v>
      </c>
      <c r="L21">
        <f t="shared" si="0"/>
        <v>5.470046082949309E-3</v>
      </c>
      <c r="M21">
        <f>parameter_table!$E$9</f>
        <v>0.1</v>
      </c>
      <c r="N21">
        <f>1-parameter_table!$E$9</f>
        <v>0.9</v>
      </c>
      <c r="P21">
        <f>-1</f>
        <v>-1</v>
      </c>
    </row>
    <row r="22" spans="1:22" x14ac:dyDescent="0.35">
      <c r="A22">
        <v>21</v>
      </c>
      <c r="B22" t="s">
        <v>42</v>
      </c>
      <c r="F22">
        <f>-(D22*(parameter_table!$E$11)+K22*(parameter_table!$E$10)+I22+G22+H22+M22*(parameter_table!$E$12)+N22*(parameter_table!$E$13)+O22*(parameter_table!$E$14)+P22*(parameter_table!$E$14)+S22*(parameter_table!$E$14)+T22*(parameter_table!$E$14))</f>
        <v>0</v>
      </c>
      <c r="J22">
        <f>-(D22*(parameter_table!$E$16)+K22*(parameter_table!$E$15)+M22*(parameter_table!$E$17)+N22*(parameter_table!$E$18)+O22*(parameter_table!$E$19)+P22*(parameter_table!$E$19)+Q22+S22*(parameter_table!$E$19)+T22*(parameter_table!$E$19)+U22*(parameter_table!$E$25))</f>
        <v>1</v>
      </c>
      <c r="L22">
        <f t="shared" si="0"/>
        <v>3.2258064516129031E-2</v>
      </c>
      <c r="Q22">
        <f>-1</f>
        <v>-1</v>
      </c>
    </row>
    <row r="23" spans="1:22" x14ac:dyDescent="0.35">
      <c r="A23">
        <v>22</v>
      </c>
      <c r="B23" t="s">
        <v>43</v>
      </c>
      <c r="E23">
        <f>1</f>
        <v>1</v>
      </c>
      <c r="F23">
        <f>-(D23*(parameter_table!$E$11)+K23*(parameter_table!$E$10)+I23+G23+H23+M23*(parameter_table!$E$12)+N23*(parameter_table!$E$13)+O23*(parameter_table!$E$14)+P23*(parameter_table!$E$14)+S23*(parameter_table!$E$14)+T23*(parameter_table!$E$14))</f>
        <v>0</v>
      </c>
      <c r="J23">
        <f>-(D23*(parameter_table!$E$16)+K23*(parameter_table!$E$15)+M23*(parameter_table!$E$17)+N23*(parameter_table!$E$18)+O23*(parameter_table!$E$19)+P23*(parameter_table!$E$19)+Q23+S23*(parameter_table!$E$19)+T23*(parameter_table!$E$19)+U23*(parameter_table!$E$25))</f>
        <v>0</v>
      </c>
      <c r="L23">
        <f t="shared" si="0"/>
        <v>0</v>
      </c>
      <c r="R23">
        <f>-1</f>
        <v>-1</v>
      </c>
    </row>
    <row r="24" spans="1:22" x14ac:dyDescent="0.35">
      <c r="A24">
        <v>23</v>
      </c>
      <c r="B24" t="s">
        <v>44</v>
      </c>
      <c r="C24">
        <f>-((3.43-parameter_table!$E$6)/parameter_table!$E$6)</f>
        <v>-18.055555555555557</v>
      </c>
      <c r="F24">
        <f>-(D24*(parameter_table!$E$11)+K24*(parameter_table!$E$10)+I24+G24+H24+M24*(parameter_table!$E$12)+N24*(parameter_table!$E$13)+O24*(parameter_table!$E$14)+P24*(parameter_table!$E$14)+S24*(parameter_table!$E$14)+T24*(parameter_table!$E$14))</f>
        <v>-5.6255555555555556</v>
      </c>
      <c r="G24">
        <f>1/parameter_table!$E$6</f>
        <v>5.5555555555555554</v>
      </c>
      <c r="J24">
        <f>-(D24*(parameter_table!$E$16)+K24*(parameter_table!$E$15)+M24*(parameter_table!$E$17)+N24*(parameter_table!$E$18)+O24*(parameter_table!$E$19)+P24*(parameter_table!$E$19)+Q24+S24*(parameter_table!$E$19)+T24*(parameter_table!$E$19)+U24*(parameter_table!$E$25))</f>
        <v>-0.02</v>
      </c>
      <c r="L24">
        <f t="shared" si="0"/>
        <v>-0.79929595494111616</v>
      </c>
      <c r="S24">
        <f>1</f>
        <v>1</v>
      </c>
    </row>
    <row r="25" spans="1:22" x14ac:dyDescent="0.35">
      <c r="A25">
        <v>24</v>
      </c>
      <c r="B25" t="s">
        <v>45</v>
      </c>
      <c r="C25">
        <f>-((1.14-parameter_table!$E$7)/parameter_table!$E$7)</f>
        <v>-13.249999999999998</v>
      </c>
      <c r="F25">
        <f>-(D25*(parameter_table!$E$11)+K25*(parameter_table!$E$10)+I25+G25+H25+M25*(parameter_table!$E$12)+N25*(parameter_table!$E$13)+O25*(parameter_table!$E$14)+P25*(parameter_table!$E$14)+S25*(parameter_table!$E$14)+T25*(parameter_table!$E$14))</f>
        <v>-7.0000000000000007E-2</v>
      </c>
      <c r="G25">
        <f>-1/parameter_table!$E$7</f>
        <v>-12.5</v>
      </c>
      <c r="H25">
        <f>1/parameter_table!$E$7</f>
        <v>12.5</v>
      </c>
      <c r="J25">
        <f>-(D25*(parameter_table!$E$16)+K25*(parameter_table!$E$15)+M25*(parameter_table!$E$17)+N25*(parameter_table!$E$18)+O25*(parameter_table!$E$19)+P25*(parameter_table!$E$19)+Q25+S25*(parameter_table!$E$19)+T25*(parameter_table!$E$19)+U25*(parameter_table!$E$25))</f>
        <v>-0.02</v>
      </c>
      <c r="L25">
        <f t="shared" si="0"/>
        <v>-5.6451612903225847E-3</v>
      </c>
      <c r="T25">
        <f>1</f>
        <v>1</v>
      </c>
    </row>
    <row r="26" spans="1:22" x14ac:dyDescent="0.35">
      <c r="A26">
        <v>25</v>
      </c>
      <c r="B26" t="s">
        <v>46</v>
      </c>
      <c r="F26">
        <f>-(D26*(parameter_table!$E$11)+K26*(parameter_table!$E$10)+I26+G26+H26+M26*(parameter_table!$E$12)+N26*(parameter_table!$E$13)+O26*(parameter_table!$E$14)+P26*(parameter_table!$E$14)+S26*(parameter_table!$E$14)+T26*(parameter_table!$E$14))</f>
        <v>6.8000000000000005E-2</v>
      </c>
      <c r="J26">
        <f>-(D26*(parameter_table!$E$16)+K26*(parameter_table!$E$15)+M26*(parameter_table!$E$17)+N26*(parameter_table!$E$18)+O26*(parameter_table!$E$19)+P26*(parameter_table!$E$19)+Q26+S26*(parameter_table!$E$19)+T26*(parameter_table!$E$19)+U26*(parameter_table!$E$25))</f>
        <v>1.9E-2</v>
      </c>
      <c r="L26">
        <f t="shared" si="0"/>
        <v>5.470046082949309E-3</v>
      </c>
      <c r="M26">
        <f>parameter_table!$E$9</f>
        <v>0.1</v>
      </c>
      <c r="N26">
        <f>1-parameter_table!$E$9</f>
        <v>0.9</v>
      </c>
      <c r="S26">
        <f>-1</f>
        <v>-1</v>
      </c>
    </row>
    <row r="27" spans="1:22" x14ac:dyDescent="0.35">
      <c r="A27">
        <v>26</v>
      </c>
      <c r="B27" t="s">
        <v>47</v>
      </c>
      <c r="F27">
        <f>-(D27*(parameter_table!$E$11)+K27*(parameter_table!$E$10)+I27+G27+H27+M27*(parameter_table!$E$12)+N27*(parameter_table!$E$13)+O27*(parameter_table!$E$14)+P27*(parameter_table!$E$14)+S27*(parameter_table!$E$14)+T27*(parameter_table!$E$14))</f>
        <v>6.8000000000000005E-2</v>
      </c>
      <c r="J27">
        <f>-(D27*(parameter_table!$E$16)+K27*(parameter_table!$E$15)+M27*(parameter_table!$E$17)+N27*(parameter_table!$E$18)+O27*(parameter_table!$E$19)+P27*(parameter_table!$E$19)+Q27+S27*(parameter_table!$E$19)+T27*(parameter_table!$E$19)+U27*(parameter_table!$E$25))</f>
        <v>1.9E-2</v>
      </c>
      <c r="L27">
        <f t="shared" si="0"/>
        <v>5.470046082949309E-3</v>
      </c>
      <c r="M27">
        <f>parameter_table!$E$9</f>
        <v>0.1</v>
      </c>
      <c r="N27">
        <f>1-parameter_table!$E$9</f>
        <v>0.9</v>
      </c>
      <c r="T27">
        <f>-1</f>
        <v>-1</v>
      </c>
    </row>
    <row r="28" spans="1:22" x14ac:dyDescent="0.35">
      <c r="A28">
        <v>27</v>
      </c>
      <c r="B28" t="s">
        <v>48</v>
      </c>
      <c r="F28">
        <f>-(D28*(parameter_table!$E$11)+K28*(parameter_table!$E$10)+I28+G28+H28+M28*(parameter_table!$E$12)+N28*(parameter_table!$E$13)+O28*(parameter_table!$E$14)+P28*(parameter_table!$E$14)+S28*(parameter_table!$E$14)+T28*(parameter_table!$E$14))</f>
        <v>0</v>
      </c>
      <c r="J28">
        <f>-1</f>
        <v>-1</v>
      </c>
      <c r="L28">
        <f t="shared" si="0"/>
        <v>-3.2258064516129031E-2</v>
      </c>
      <c r="U28">
        <f>4.87</f>
        <v>4.87</v>
      </c>
      <c r="V28">
        <f>-3.45</f>
        <v>-3.45</v>
      </c>
    </row>
    <row r="29" spans="1:22" x14ac:dyDescent="0.35">
      <c r="A29">
        <v>28</v>
      </c>
      <c r="B29" t="s">
        <v>49</v>
      </c>
      <c r="F29">
        <f>-(D29*(parameter_table!$E$11)+K29*(parameter_table!$E$10)+I29+G29+H29+M29*(parameter_table!$E$12)+N29*(parameter_table!$E$13)+O29*(parameter_table!$E$14)+P29*(parameter_table!$E$14)+S29*(parameter_table!$E$14)+T29*(parameter_table!$E$14))</f>
        <v>0</v>
      </c>
      <c r="J29">
        <f>1</f>
        <v>1</v>
      </c>
      <c r="L29">
        <f t="shared" si="0"/>
        <v>3.2258064516129031E-2</v>
      </c>
      <c r="U29">
        <f>-4.87</f>
        <v>-4.87</v>
      </c>
      <c r="V29">
        <f>3.45</f>
        <v>3.45</v>
      </c>
    </row>
  </sheetData>
  <autoFilter ref="A1:V29" xr:uid="{00000000-0009-0000-0000-000000000000}"/>
  <pageMargins left="0.75" right="0.75" top="1" bottom="1" header="0.5" footer="0.5"/>
  <headerFooter>
    <oddFooter>&amp;C_x000D_&amp;1#&amp;"Aptos"&amp;10&amp;K000000 Confidential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F1" sqref="F1:F1048576"/>
    </sheetView>
  </sheetViews>
  <sheetFormatPr defaultRowHeight="14.5" x14ac:dyDescent="0.35"/>
  <cols>
    <col min="1" max="1" width="13" customWidth="1"/>
    <col min="2" max="2" width="16" customWidth="1"/>
    <col min="3" max="4" width="12" customWidth="1"/>
    <col min="5" max="7" width="26" customWidth="1"/>
  </cols>
  <sheetData>
    <row r="1" spans="1:7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35">
      <c r="A2" t="s">
        <v>57</v>
      </c>
      <c r="B2" t="s">
        <v>2</v>
      </c>
      <c r="C2" t="s">
        <v>58</v>
      </c>
    </row>
    <row r="3" spans="1:7" x14ac:dyDescent="0.35">
      <c r="A3" t="s">
        <v>57</v>
      </c>
      <c r="B3" t="s">
        <v>3</v>
      </c>
      <c r="C3" t="s">
        <v>59</v>
      </c>
      <c r="D3">
        <f>1</f>
        <v>1</v>
      </c>
      <c r="E3">
        <f>parameter_table!$E$11</f>
        <v>0</v>
      </c>
      <c r="F3">
        <f>parameter_table!$E$16</f>
        <v>0</v>
      </c>
    </row>
    <row r="4" spans="1:7" x14ac:dyDescent="0.35">
      <c r="A4" t="s">
        <v>57</v>
      </c>
      <c r="B4" t="s">
        <v>4</v>
      </c>
      <c r="C4" t="s">
        <v>59</v>
      </c>
      <c r="D4">
        <f>1</f>
        <v>1</v>
      </c>
    </row>
    <row r="5" spans="1:7" x14ac:dyDescent="0.35">
      <c r="A5" t="s">
        <v>57</v>
      </c>
      <c r="B5" t="s">
        <v>5</v>
      </c>
      <c r="C5" t="s">
        <v>60</v>
      </c>
      <c r="E5">
        <f>1</f>
        <v>1</v>
      </c>
    </row>
    <row r="6" spans="1:7" x14ac:dyDescent="0.35">
      <c r="A6" t="s">
        <v>57</v>
      </c>
      <c r="B6" t="s">
        <v>6</v>
      </c>
      <c r="C6" t="s">
        <v>60</v>
      </c>
      <c r="E6">
        <f>1</f>
        <v>1</v>
      </c>
    </row>
    <row r="7" spans="1:7" x14ac:dyDescent="0.35">
      <c r="A7" t="s">
        <v>57</v>
      </c>
      <c r="B7" t="s">
        <v>7</v>
      </c>
      <c r="C7" t="s">
        <v>60</v>
      </c>
      <c r="E7">
        <f>1</f>
        <v>1</v>
      </c>
    </row>
    <row r="8" spans="1:7" x14ac:dyDescent="0.35">
      <c r="A8" t="s">
        <v>57</v>
      </c>
      <c r="B8" t="s">
        <v>8</v>
      </c>
      <c r="C8" t="s">
        <v>60</v>
      </c>
    </row>
    <row r="9" spans="1:7" x14ac:dyDescent="0.35">
      <c r="A9" t="s">
        <v>57</v>
      </c>
      <c r="B9" t="s">
        <v>9</v>
      </c>
      <c r="C9" t="s">
        <v>61</v>
      </c>
      <c r="F9">
        <f>1</f>
        <v>1</v>
      </c>
    </row>
    <row r="10" spans="1:7" x14ac:dyDescent="0.35">
      <c r="A10" t="s">
        <v>57</v>
      </c>
      <c r="B10" t="s">
        <v>10</v>
      </c>
      <c r="C10" t="s">
        <v>59</v>
      </c>
      <c r="D10">
        <f>1</f>
        <v>1</v>
      </c>
      <c r="E10">
        <f>parameter_table!$E$10</f>
        <v>0.01</v>
      </c>
      <c r="F10">
        <f>parameter_table!$E$15</f>
        <v>0</v>
      </c>
    </row>
    <row r="11" spans="1:7" x14ac:dyDescent="0.35">
      <c r="A11" t="s">
        <v>57</v>
      </c>
      <c r="B11" t="s">
        <v>11</v>
      </c>
      <c r="C11" t="s">
        <v>62</v>
      </c>
    </row>
    <row r="12" spans="1:7" x14ac:dyDescent="0.35">
      <c r="A12" t="s">
        <v>63</v>
      </c>
      <c r="B12" t="s">
        <v>12</v>
      </c>
      <c r="C12" t="s">
        <v>59</v>
      </c>
      <c r="D12">
        <f>1</f>
        <v>1</v>
      </c>
      <c r="E12">
        <f>parameter_table!$E$12</f>
        <v>0.02</v>
      </c>
      <c r="F12">
        <f>parameter_table!$E$17</f>
        <v>0.01</v>
      </c>
      <c r="G12">
        <f>parameter_table!$E$20</f>
        <v>0.75</v>
      </c>
    </row>
    <row r="13" spans="1:7" x14ac:dyDescent="0.35">
      <c r="A13" t="s">
        <v>63</v>
      </c>
      <c r="B13" t="s">
        <v>13</v>
      </c>
      <c r="C13" t="s">
        <v>59</v>
      </c>
      <c r="D13">
        <f>1</f>
        <v>1</v>
      </c>
      <c r="E13">
        <f>parameter_table!$E$13</f>
        <v>0</v>
      </c>
      <c r="F13">
        <f>parameter_table!$E$18</f>
        <v>0</v>
      </c>
      <c r="G13">
        <f>parameter_table!$E$21</f>
        <v>0.75</v>
      </c>
    </row>
    <row r="14" spans="1:7" x14ac:dyDescent="0.35">
      <c r="A14" t="s">
        <v>63</v>
      </c>
      <c r="B14" t="s">
        <v>14</v>
      </c>
      <c r="C14" t="s">
        <v>59</v>
      </c>
      <c r="D14">
        <f>1</f>
        <v>1</v>
      </c>
      <c r="E14">
        <f>parameter_table!$E$14</f>
        <v>7.0000000000000007E-2</v>
      </c>
      <c r="F14">
        <f>parameter_table!$E$19</f>
        <v>0.02</v>
      </c>
      <c r="G14">
        <f>parameter_table!$E$22</f>
        <v>0.9</v>
      </c>
    </row>
    <row r="15" spans="1:7" x14ac:dyDescent="0.35">
      <c r="A15" t="s">
        <v>63</v>
      </c>
      <c r="B15" t="s">
        <v>15</v>
      </c>
      <c r="C15" t="s">
        <v>59</v>
      </c>
      <c r="D15">
        <f>1</f>
        <v>1</v>
      </c>
      <c r="E15">
        <f>parameter_table!$E$14</f>
        <v>7.0000000000000007E-2</v>
      </c>
      <c r="F15">
        <f>parameter_table!$E$19</f>
        <v>0.02</v>
      </c>
      <c r="G15">
        <f>parameter_table!$E$22</f>
        <v>0.9</v>
      </c>
    </row>
    <row r="16" spans="1:7" x14ac:dyDescent="0.35">
      <c r="A16" t="s">
        <v>63</v>
      </c>
      <c r="B16" t="s">
        <v>16</v>
      </c>
      <c r="C16" t="s">
        <v>61</v>
      </c>
      <c r="F16">
        <f>1</f>
        <v>1</v>
      </c>
      <c r="G16">
        <f>parameter_table!$E$24</f>
        <v>3.23</v>
      </c>
    </row>
    <row r="17" spans="1:7" x14ac:dyDescent="0.35">
      <c r="A17" t="s">
        <v>63</v>
      </c>
      <c r="B17" t="s">
        <v>17</v>
      </c>
      <c r="C17" t="s">
        <v>59</v>
      </c>
      <c r="D17">
        <f>1</f>
        <v>1</v>
      </c>
      <c r="G17">
        <f>parameter_table!$E$23</f>
        <v>0.6</v>
      </c>
    </row>
    <row r="18" spans="1:7" x14ac:dyDescent="0.35">
      <c r="A18" t="s">
        <v>63</v>
      </c>
      <c r="B18" t="s">
        <v>18</v>
      </c>
      <c r="C18" t="s">
        <v>59</v>
      </c>
      <c r="D18">
        <f>1</f>
        <v>1</v>
      </c>
      <c r="E18">
        <f>parameter_table!$E$14</f>
        <v>7.0000000000000007E-2</v>
      </c>
      <c r="F18">
        <f>parameter_table!$E$19</f>
        <v>0.02</v>
      </c>
      <c r="G18">
        <f>parameter_table!$E$22</f>
        <v>0.9</v>
      </c>
    </row>
    <row r="19" spans="1:7" x14ac:dyDescent="0.35">
      <c r="A19" t="s">
        <v>63</v>
      </c>
      <c r="B19" t="s">
        <v>19</v>
      </c>
      <c r="C19" t="s">
        <v>59</v>
      </c>
      <c r="D19">
        <f>1</f>
        <v>1</v>
      </c>
      <c r="E19">
        <f>parameter_table!$E$14</f>
        <v>7.0000000000000007E-2</v>
      </c>
      <c r="F19">
        <f>parameter_table!$E$19</f>
        <v>0.02</v>
      </c>
      <c r="G19">
        <f>parameter_table!$E$22</f>
        <v>0.9</v>
      </c>
    </row>
    <row r="20" spans="1:7" x14ac:dyDescent="0.35">
      <c r="A20" t="s">
        <v>63</v>
      </c>
      <c r="B20" t="s">
        <v>20</v>
      </c>
      <c r="C20" t="s">
        <v>64</v>
      </c>
      <c r="F20">
        <f>parameter_table!$E$25</f>
        <v>0.20499999999999999</v>
      </c>
      <c r="G20">
        <f>1</f>
        <v>1</v>
      </c>
    </row>
    <row r="21" spans="1:7" x14ac:dyDescent="0.35">
      <c r="A21" t="s">
        <v>63</v>
      </c>
      <c r="B21" t="s">
        <v>21</v>
      </c>
      <c r="C21" t="s">
        <v>64</v>
      </c>
      <c r="G21">
        <f>1</f>
        <v>1</v>
      </c>
    </row>
  </sheetData>
  <autoFilter ref="A1:G21" xr:uid="{00000000-0009-0000-0000-000001000000}"/>
  <pageMargins left="0.75" right="0.75" top="1" bottom="1" header="0.5" footer="0.5"/>
  <headerFooter>
    <oddFooter>&amp;C_x000D_&amp;1#&amp;"Aptos"&amp;10&amp;K000000 Confidential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3" width="13" customWidth="1"/>
    <col min="4" max="4" width="48" customWidth="1"/>
    <col min="5" max="5" width="12" customWidth="1"/>
    <col min="6" max="6" width="19" customWidth="1"/>
  </cols>
  <sheetData>
    <row r="1" spans="1:6" x14ac:dyDescent="0.3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52</v>
      </c>
    </row>
    <row r="2" spans="1:6" x14ac:dyDescent="0.35">
      <c r="A2" s="2" t="s">
        <v>70</v>
      </c>
      <c r="B2" s="2" t="s">
        <v>71</v>
      </c>
      <c r="C2" s="2" t="s">
        <v>71</v>
      </c>
      <c r="D2" s="2" t="s">
        <v>72</v>
      </c>
      <c r="E2" s="3">
        <v>0.625</v>
      </c>
      <c r="F2" s="2" t="s">
        <v>73</v>
      </c>
    </row>
    <row r="3" spans="1:6" x14ac:dyDescent="0.35">
      <c r="A3" t="s">
        <v>70</v>
      </c>
      <c r="B3" t="s">
        <v>74</v>
      </c>
      <c r="C3" t="s">
        <v>74</v>
      </c>
      <c r="D3" t="s">
        <v>75</v>
      </c>
      <c r="E3" s="4">
        <v>0.625</v>
      </c>
      <c r="F3" t="s">
        <v>73</v>
      </c>
    </row>
    <row r="4" spans="1:6" x14ac:dyDescent="0.35">
      <c r="A4" t="s">
        <v>70</v>
      </c>
      <c r="B4" t="s">
        <v>76</v>
      </c>
      <c r="C4" t="s">
        <v>76</v>
      </c>
      <c r="D4" t="s">
        <v>77</v>
      </c>
      <c r="E4" s="4">
        <v>0.2</v>
      </c>
      <c r="F4" t="s">
        <v>78</v>
      </c>
    </row>
    <row r="5" spans="1:6" x14ac:dyDescent="0.35">
      <c r="A5" t="s">
        <v>70</v>
      </c>
      <c r="B5" t="s">
        <v>79</v>
      </c>
      <c r="C5" t="s">
        <v>79</v>
      </c>
      <c r="D5" t="s">
        <v>80</v>
      </c>
      <c r="E5" s="4">
        <v>0.4</v>
      </c>
      <c r="F5" t="s">
        <v>81</v>
      </c>
    </row>
    <row r="6" spans="1:6" x14ac:dyDescent="0.35">
      <c r="A6" t="s">
        <v>70</v>
      </c>
      <c r="B6" t="s">
        <v>82</v>
      </c>
      <c r="C6" t="s">
        <v>82</v>
      </c>
      <c r="D6" t="s">
        <v>83</v>
      </c>
      <c r="E6" s="4">
        <v>0.18</v>
      </c>
      <c r="F6" t="s">
        <v>84</v>
      </c>
    </row>
    <row r="7" spans="1:6" x14ac:dyDescent="0.35">
      <c r="A7" t="s">
        <v>70</v>
      </c>
      <c r="B7" t="s">
        <v>85</v>
      </c>
      <c r="C7" t="s">
        <v>85</v>
      </c>
      <c r="D7" t="s">
        <v>86</v>
      </c>
      <c r="E7" s="4">
        <v>0.08</v>
      </c>
      <c r="F7" t="s">
        <v>84</v>
      </c>
    </row>
    <row r="8" spans="1:6" x14ac:dyDescent="0.35">
      <c r="A8" t="s">
        <v>70</v>
      </c>
      <c r="B8" t="s">
        <v>87</v>
      </c>
      <c r="C8" t="s">
        <v>87</v>
      </c>
      <c r="D8" t="s">
        <v>88</v>
      </c>
      <c r="E8" s="4">
        <v>0</v>
      </c>
      <c r="F8" t="s">
        <v>73</v>
      </c>
    </row>
    <row r="9" spans="1:6" x14ac:dyDescent="0.35">
      <c r="A9" t="s">
        <v>70</v>
      </c>
      <c r="B9" t="s">
        <v>89</v>
      </c>
      <c r="C9" t="s">
        <v>89</v>
      </c>
      <c r="D9" t="s">
        <v>90</v>
      </c>
      <c r="E9" s="4">
        <v>0.1</v>
      </c>
      <c r="F9" t="s">
        <v>73</v>
      </c>
    </row>
    <row r="10" spans="1:6" x14ac:dyDescent="0.35">
      <c r="A10" s="2" t="s">
        <v>91</v>
      </c>
      <c r="B10" s="2" t="s">
        <v>92</v>
      </c>
      <c r="C10" s="2" t="s">
        <v>92</v>
      </c>
      <c r="D10" s="2" t="s">
        <v>93</v>
      </c>
      <c r="E10" s="3">
        <v>0.01</v>
      </c>
      <c r="F10" s="2" t="s">
        <v>94</v>
      </c>
    </row>
    <row r="11" spans="1:6" x14ac:dyDescent="0.35">
      <c r="A11" t="s">
        <v>91</v>
      </c>
      <c r="B11" t="s">
        <v>95</v>
      </c>
      <c r="C11" t="s">
        <v>95</v>
      </c>
      <c r="D11" t="s">
        <v>96</v>
      </c>
      <c r="E11" s="4">
        <v>0</v>
      </c>
      <c r="F11" t="s">
        <v>94</v>
      </c>
    </row>
    <row r="12" spans="1:6" x14ac:dyDescent="0.35">
      <c r="A12" t="s">
        <v>91</v>
      </c>
      <c r="B12" t="s">
        <v>97</v>
      </c>
      <c r="C12" t="s">
        <v>97</v>
      </c>
      <c r="D12" t="s">
        <v>98</v>
      </c>
      <c r="E12" s="4">
        <v>0.02</v>
      </c>
      <c r="F12" t="s">
        <v>94</v>
      </c>
    </row>
    <row r="13" spans="1:6" x14ac:dyDescent="0.35">
      <c r="A13" t="s">
        <v>91</v>
      </c>
      <c r="B13" t="s">
        <v>99</v>
      </c>
      <c r="C13" t="s">
        <v>99</v>
      </c>
      <c r="D13" t="s">
        <v>100</v>
      </c>
      <c r="E13" s="4">
        <v>0</v>
      </c>
      <c r="F13" t="s">
        <v>94</v>
      </c>
    </row>
    <row r="14" spans="1:6" x14ac:dyDescent="0.35">
      <c r="A14" t="s">
        <v>91</v>
      </c>
      <c r="B14" t="s">
        <v>101</v>
      </c>
      <c r="C14" t="s">
        <v>101</v>
      </c>
      <c r="D14" t="s">
        <v>102</v>
      </c>
      <c r="E14" s="4">
        <v>7.0000000000000007E-2</v>
      </c>
      <c r="F14" t="s">
        <v>94</v>
      </c>
    </row>
    <row r="15" spans="1:6" x14ac:dyDescent="0.35">
      <c r="A15" t="s">
        <v>91</v>
      </c>
      <c r="B15" t="s">
        <v>103</v>
      </c>
      <c r="C15" t="s">
        <v>103</v>
      </c>
      <c r="D15" t="s">
        <v>104</v>
      </c>
      <c r="E15" s="4">
        <v>0</v>
      </c>
      <c r="F15" t="s">
        <v>81</v>
      </c>
    </row>
    <row r="16" spans="1:6" x14ac:dyDescent="0.35">
      <c r="A16" t="s">
        <v>91</v>
      </c>
      <c r="B16" t="s">
        <v>105</v>
      </c>
      <c r="C16" t="s">
        <v>105</v>
      </c>
      <c r="D16" t="s">
        <v>106</v>
      </c>
      <c r="E16" s="4">
        <v>0</v>
      </c>
      <c r="F16" t="s">
        <v>81</v>
      </c>
    </row>
    <row r="17" spans="1:6" x14ac:dyDescent="0.35">
      <c r="A17" t="s">
        <v>91</v>
      </c>
      <c r="B17" t="s">
        <v>107</v>
      </c>
      <c r="C17" t="s">
        <v>107</v>
      </c>
      <c r="D17" t="s">
        <v>108</v>
      </c>
      <c r="E17" s="4">
        <v>0.01</v>
      </c>
      <c r="F17" t="s">
        <v>81</v>
      </c>
    </row>
    <row r="18" spans="1:6" x14ac:dyDescent="0.35">
      <c r="A18" t="s">
        <v>91</v>
      </c>
      <c r="B18" t="s">
        <v>109</v>
      </c>
      <c r="C18" t="s">
        <v>109</v>
      </c>
      <c r="D18" t="s">
        <v>110</v>
      </c>
      <c r="E18" s="4">
        <v>0</v>
      </c>
      <c r="F18" t="s">
        <v>81</v>
      </c>
    </row>
    <row r="19" spans="1:6" x14ac:dyDescent="0.35">
      <c r="A19" t="s">
        <v>91</v>
      </c>
      <c r="B19" t="s">
        <v>111</v>
      </c>
      <c r="C19" t="s">
        <v>111</v>
      </c>
      <c r="D19" t="s">
        <v>112</v>
      </c>
      <c r="E19" s="4">
        <v>0.02</v>
      </c>
      <c r="F19" t="s">
        <v>81</v>
      </c>
    </row>
    <row r="20" spans="1:6" x14ac:dyDescent="0.35">
      <c r="A20" t="s">
        <v>91</v>
      </c>
      <c r="B20" t="s">
        <v>113</v>
      </c>
      <c r="C20" t="s">
        <v>113</v>
      </c>
      <c r="D20" t="s">
        <v>114</v>
      </c>
      <c r="E20" s="4">
        <v>0.75</v>
      </c>
      <c r="F20" t="s">
        <v>115</v>
      </c>
    </row>
    <row r="21" spans="1:6" x14ac:dyDescent="0.35">
      <c r="A21" t="s">
        <v>91</v>
      </c>
      <c r="B21" t="s">
        <v>116</v>
      </c>
      <c r="C21" t="s">
        <v>116</v>
      </c>
      <c r="D21" t="s">
        <v>117</v>
      </c>
      <c r="E21" s="4">
        <v>0.75</v>
      </c>
      <c r="F21" t="s">
        <v>115</v>
      </c>
    </row>
    <row r="22" spans="1:6" x14ac:dyDescent="0.35">
      <c r="A22" t="s">
        <v>91</v>
      </c>
      <c r="B22" t="s">
        <v>118</v>
      </c>
      <c r="C22" t="s">
        <v>118</v>
      </c>
      <c r="D22" t="s">
        <v>119</v>
      </c>
      <c r="E22" s="4">
        <v>0.9</v>
      </c>
      <c r="F22" t="s">
        <v>115</v>
      </c>
    </row>
    <row r="23" spans="1:6" x14ac:dyDescent="0.35">
      <c r="A23" t="s">
        <v>91</v>
      </c>
      <c r="B23" t="s">
        <v>120</v>
      </c>
      <c r="C23" t="s">
        <v>120</v>
      </c>
      <c r="D23" t="s">
        <v>121</v>
      </c>
      <c r="E23" s="4">
        <v>0.6</v>
      </c>
      <c r="F23" t="s">
        <v>115</v>
      </c>
    </row>
    <row r="24" spans="1:6" x14ac:dyDescent="0.35">
      <c r="A24" t="s">
        <v>91</v>
      </c>
      <c r="B24" t="s">
        <v>122</v>
      </c>
      <c r="C24" t="s">
        <v>122</v>
      </c>
      <c r="D24" t="s">
        <v>123</v>
      </c>
      <c r="E24" s="4">
        <v>3.23</v>
      </c>
      <c r="F24" t="s">
        <v>124</v>
      </c>
    </row>
    <row r="25" spans="1:6" x14ac:dyDescent="0.35">
      <c r="A25" t="s">
        <v>91</v>
      </c>
      <c r="B25" t="s">
        <v>125</v>
      </c>
      <c r="C25" t="s">
        <v>125</v>
      </c>
      <c r="D25" t="s">
        <v>126</v>
      </c>
      <c r="E25" s="4">
        <v>0.20499999999999999</v>
      </c>
      <c r="F25" t="s">
        <v>127</v>
      </c>
    </row>
    <row r="26" spans="1:6" x14ac:dyDescent="0.35">
      <c r="A26" s="2" t="s">
        <v>128</v>
      </c>
      <c r="B26" s="2" t="s">
        <v>129</v>
      </c>
      <c r="C26" s="2" t="s">
        <v>129</v>
      </c>
      <c r="D26" s="2" t="s">
        <v>130</v>
      </c>
      <c r="E26" s="3">
        <v>3</v>
      </c>
      <c r="F26" s="2" t="s">
        <v>131</v>
      </c>
    </row>
    <row r="27" spans="1:6" x14ac:dyDescent="0.35">
      <c r="A27" t="s">
        <v>128</v>
      </c>
      <c r="B27" t="s">
        <v>132</v>
      </c>
      <c r="C27" t="s">
        <v>132</v>
      </c>
      <c r="D27" t="s">
        <v>133</v>
      </c>
      <c r="E27" s="4">
        <v>0.6</v>
      </c>
      <c r="F27" t="s">
        <v>134</v>
      </c>
    </row>
    <row r="28" spans="1:6" x14ac:dyDescent="0.35">
      <c r="A28" t="s">
        <v>128</v>
      </c>
      <c r="B28" t="s">
        <v>135</v>
      </c>
      <c r="C28" t="s">
        <v>135</v>
      </c>
      <c r="D28" t="s">
        <v>136</v>
      </c>
      <c r="E28" s="4">
        <v>0.6</v>
      </c>
      <c r="F28" t="s">
        <v>134</v>
      </c>
    </row>
    <row r="29" spans="1:6" x14ac:dyDescent="0.35">
      <c r="A29" t="s">
        <v>128</v>
      </c>
      <c r="B29" t="s">
        <v>137</v>
      </c>
      <c r="C29" t="s">
        <v>137</v>
      </c>
      <c r="D29" t="s">
        <v>138</v>
      </c>
      <c r="E29" s="4">
        <v>0.4</v>
      </c>
      <c r="F29" t="s">
        <v>134</v>
      </c>
    </row>
    <row r="30" spans="1:6" x14ac:dyDescent="0.35">
      <c r="A30" t="s">
        <v>128</v>
      </c>
      <c r="B30" t="s">
        <v>139</v>
      </c>
      <c r="C30" t="s">
        <v>139</v>
      </c>
      <c r="D30" t="s">
        <v>140</v>
      </c>
      <c r="E30" s="4">
        <v>0.2</v>
      </c>
      <c r="F30" t="s">
        <v>58</v>
      </c>
    </row>
    <row r="31" spans="1:6" x14ac:dyDescent="0.35">
      <c r="A31" t="s">
        <v>128</v>
      </c>
      <c r="B31" t="s">
        <v>141</v>
      </c>
      <c r="C31" t="s">
        <v>141</v>
      </c>
      <c r="D31" t="s">
        <v>142</v>
      </c>
      <c r="E31" s="4">
        <v>0.5</v>
      </c>
      <c r="F31" t="s">
        <v>60</v>
      </c>
    </row>
    <row r="32" spans="1:6" x14ac:dyDescent="0.35">
      <c r="A32" t="s">
        <v>128</v>
      </c>
      <c r="B32" t="s">
        <v>143</v>
      </c>
      <c r="C32" t="s">
        <v>143</v>
      </c>
      <c r="D32" t="s">
        <v>144</v>
      </c>
      <c r="E32" s="4">
        <v>0.5</v>
      </c>
      <c r="F32" t="s">
        <v>60</v>
      </c>
    </row>
    <row r="33" spans="1:6" x14ac:dyDescent="0.35">
      <c r="A33" t="s">
        <v>128</v>
      </c>
      <c r="B33" t="s">
        <v>145</v>
      </c>
      <c r="C33" t="s">
        <v>145</v>
      </c>
      <c r="D33" t="s">
        <v>146</v>
      </c>
      <c r="E33" s="4">
        <v>0.5</v>
      </c>
      <c r="F33" t="s">
        <v>60</v>
      </c>
    </row>
    <row r="34" spans="1:6" x14ac:dyDescent="0.35">
      <c r="A34" t="s">
        <v>128</v>
      </c>
      <c r="B34" t="s">
        <v>147</v>
      </c>
      <c r="C34" t="s">
        <v>147</v>
      </c>
      <c r="D34" t="s">
        <v>148</v>
      </c>
      <c r="E34" s="4">
        <v>0.1</v>
      </c>
      <c r="F34" t="s">
        <v>149</v>
      </c>
    </row>
    <row r="35" spans="1:6" x14ac:dyDescent="0.35">
      <c r="A35" s="2" t="s">
        <v>150</v>
      </c>
      <c r="B35" s="2" t="s">
        <v>151</v>
      </c>
      <c r="C35" s="2" t="s">
        <v>151</v>
      </c>
      <c r="D35" s="2" t="s">
        <v>152</v>
      </c>
      <c r="E35" s="3">
        <v>6</v>
      </c>
      <c r="F35" s="2" t="s">
        <v>131</v>
      </c>
    </row>
    <row r="36" spans="1:6" x14ac:dyDescent="0.35">
      <c r="A36" t="s">
        <v>150</v>
      </c>
      <c r="B36" t="s">
        <v>153</v>
      </c>
      <c r="C36" t="s">
        <v>153</v>
      </c>
      <c r="D36" t="s">
        <v>154</v>
      </c>
      <c r="E36" s="4">
        <v>3</v>
      </c>
      <c r="F36" t="s">
        <v>134</v>
      </c>
    </row>
    <row r="37" spans="1:6" x14ac:dyDescent="0.35">
      <c r="A37" t="s">
        <v>150</v>
      </c>
      <c r="B37" t="s">
        <v>155</v>
      </c>
      <c r="C37" t="s">
        <v>155</v>
      </c>
      <c r="D37" t="s">
        <v>156</v>
      </c>
      <c r="E37" s="4">
        <v>0.9</v>
      </c>
      <c r="F37" t="s">
        <v>134</v>
      </c>
    </row>
    <row r="38" spans="1:6" x14ac:dyDescent="0.35">
      <c r="A38" t="s">
        <v>150</v>
      </c>
      <c r="B38" t="s">
        <v>157</v>
      </c>
      <c r="C38" t="s">
        <v>157</v>
      </c>
      <c r="D38" t="s">
        <v>158</v>
      </c>
      <c r="E38" s="4">
        <v>0.9</v>
      </c>
      <c r="F38" t="s">
        <v>134</v>
      </c>
    </row>
    <row r="39" spans="1:6" x14ac:dyDescent="0.35">
      <c r="A39" t="s">
        <v>150</v>
      </c>
      <c r="B39" t="s">
        <v>159</v>
      </c>
      <c r="C39" t="s">
        <v>159</v>
      </c>
      <c r="D39" t="s">
        <v>160</v>
      </c>
      <c r="E39" s="4">
        <v>0.4</v>
      </c>
      <c r="F39" t="s">
        <v>131</v>
      </c>
    </row>
    <row r="40" spans="1:6" x14ac:dyDescent="0.35">
      <c r="A40" t="s">
        <v>150</v>
      </c>
      <c r="B40" t="s">
        <v>161</v>
      </c>
      <c r="C40" t="s">
        <v>161</v>
      </c>
      <c r="D40" t="s">
        <v>162</v>
      </c>
      <c r="E40" s="4">
        <v>0.2</v>
      </c>
      <c r="F40" t="s">
        <v>58</v>
      </c>
    </row>
    <row r="41" spans="1:6" x14ac:dyDescent="0.35">
      <c r="A41" t="s">
        <v>150</v>
      </c>
      <c r="B41" t="s">
        <v>163</v>
      </c>
      <c r="C41" t="s">
        <v>163</v>
      </c>
      <c r="D41" t="s">
        <v>164</v>
      </c>
      <c r="E41" s="4">
        <v>4</v>
      </c>
      <c r="F41" t="s">
        <v>59</v>
      </c>
    </row>
    <row r="42" spans="1:6" x14ac:dyDescent="0.35">
      <c r="A42" t="s">
        <v>150</v>
      </c>
      <c r="B42" t="s">
        <v>165</v>
      </c>
      <c r="C42" t="s">
        <v>165</v>
      </c>
      <c r="D42" t="s">
        <v>166</v>
      </c>
      <c r="E42" s="4">
        <v>4</v>
      </c>
      <c r="F42" t="s">
        <v>59</v>
      </c>
    </row>
    <row r="43" spans="1:6" x14ac:dyDescent="0.35">
      <c r="A43" t="s">
        <v>150</v>
      </c>
      <c r="B43" t="s">
        <v>167</v>
      </c>
      <c r="C43" t="s">
        <v>167</v>
      </c>
      <c r="D43" t="s">
        <v>168</v>
      </c>
      <c r="E43" s="4">
        <v>4</v>
      </c>
      <c r="F43" t="s">
        <v>59</v>
      </c>
    </row>
    <row r="44" spans="1:6" x14ac:dyDescent="0.35">
      <c r="A44" t="s">
        <v>150</v>
      </c>
      <c r="B44" t="s">
        <v>169</v>
      </c>
      <c r="C44" t="s">
        <v>169</v>
      </c>
      <c r="D44" t="s">
        <v>170</v>
      </c>
      <c r="E44" s="4">
        <v>0.5</v>
      </c>
      <c r="F44" t="s">
        <v>60</v>
      </c>
    </row>
    <row r="45" spans="1:6" x14ac:dyDescent="0.35">
      <c r="A45" t="s">
        <v>150</v>
      </c>
      <c r="B45" t="s">
        <v>171</v>
      </c>
      <c r="C45" t="s">
        <v>171</v>
      </c>
      <c r="D45" t="s">
        <v>172</v>
      </c>
      <c r="E45" s="4">
        <v>0.5</v>
      </c>
      <c r="F45" t="s">
        <v>60</v>
      </c>
    </row>
    <row r="46" spans="1:6" x14ac:dyDescent="0.35">
      <c r="A46" t="s">
        <v>150</v>
      </c>
      <c r="B46" t="s">
        <v>173</v>
      </c>
      <c r="C46" t="s">
        <v>173</v>
      </c>
      <c r="D46" t="s">
        <v>174</v>
      </c>
      <c r="E46" s="4">
        <v>0.5</v>
      </c>
      <c r="F46" t="s">
        <v>60</v>
      </c>
    </row>
    <row r="47" spans="1:6" x14ac:dyDescent="0.35">
      <c r="A47" t="s">
        <v>150</v>
      </c>
      <c r="B47" t="s">
        <v>175</v>
      </c>
      <c r="C47" t="s">
        <v>175</v>
      </c>
      <c r="D47" t="s">
        <v>176</v>
      </c>
      <c r="E47" s="4">
        <v>0.05</v>
      </c>
      <c r="F47" t="s">
        <v>60</v>
      </c>
    </row>
    <row r="48" spans="1:6" x14ac:dyDescent="0.35">
      <c r="A48" t="s">
        <v>150</v>
      </c>
      <c r="B48" t="s">
        <v>177</v>
      </c>
      <c r="C48" t="s">
        <v>177</v>
      </c>
      <c r="D48" t="s">
        <v>178</v>
      </c>
      <c r="E48" s="4">
        <v>0.01</v>
      </c>
      <c r="F48" t="s">
        <v>61</v>
      </c>
    </row>
    <row r="49" spans="1:6" x14ac:dyDescent="0.35">
      <c r="A49" t="s">
        <v>150</v>
      </c>
      <c r="B49" t="s">
        <v>179</v>
      </c>
      <c r="C49" t="s">
        <v>179</v>
      </c>
      <c r="D49" t="s">
        <v>180</v>
      </c>
      <c r="E49" s="4">
        <v>0.1</v>
      </c>
      <c r="F49" t="s">
        <v>181</v>
      </c>
    </row>
    <row r="50" spans="1:6" x14ac:dyDescent="0.35">
      <c r="A50" s="2" t="s">
        <v>182</v>
      </c>
      <c r="B50" s="2" t="s">
        <v>183</v>
      </c>
      <c r="C50" s="2" t="s">
        <v>183</v>
      </c>
      <c r="D50" s="2" t="s">
        <v>184</v>
      </c>
      <c r="E50" s="3">
        <v>5</v>
      </c>
      <c r="F50" s="2" t="s">
        <v>131</v>
      </c>
    </row>
    <row r="51" spans="1:6" x14ac:dyDescent="0.35">
      <c r="A51" t="s">
        <v>182</v>
      </c>
      <c r="B51" t="s">
        <v>185</v>
      </c>
      <c r="C51" t="s">
        <v>185</v>
      </c>
      <c r="D51" t="s">
        <v>186</v>
      </c>
      <c r="E51" s="4">
        <v>0.6</v>
      </c>
      <c r="F51" t="s">
        <v>131</v>
      </c>
    </row>
    <row r="52" spans="1:6" x14ac:dyDescent="0.35">
      <c r="A52" t="s">
        <v>182</v>
      </c>
      <c r="B52" t="s">
        <v>187</v>
      </c>
      <c r="C52" t="s">
        <v>187</v>
      </c>
      <c r="D52" t="s">
        <v>188</v>
      </c>
      <c r="E52" s="4">
        <v>0.56000000000000005</v>
      </c>
      <c r="F52" t="s">
        <v>131</v>
      </c>
    </row>
    <row r="53" spans="1:6" x14ac:dyDescent="0.35">
      <c r="A53" t="s">
        <v>182</v>
      </c>
      <c r="B53" t="s">
        <v>189</v>
      </c>
      <c r="C53" t="s">
        <v>189</v>
      </c>
      <c r="D53" t="s">
        <v>190</v>
      </c>
      <c r="E53" s="4">
        <v>7.0000000000000007E-2</v>
      </c>
      <c r="F53" t="s">
        <v>134</v>
      </c>
    </row>
    <row r="54" spans="1:6" x14ac:dyDescent="0.35">
      <c r="A54" t="s">
        <v>182</v>
      </c>
      <c r="B54" t="s">
        <v>191</v>
      </c>
      <c r="C54" t="s">
        <v>191</v>
      </c>
      <c r="D54" t="s">
        <v>192</v>
      </c>
      <c r="E54" s="4">
        <v>0.9</v>
      </c>
      <c r="F54" t="s">
        <v>134</v>
      </c>
    </row>
    <row r="55" spans="1:6" x14ac:dyDescent="0.35">
      <c r="A55" t="s">
        <v>182</v>
      </c>
      <c r="B55" t="s">
        <v>193</v>
      </c>
      <c r="C55" t="s">
        <v>193</v>
      </c>
      <c r="D55" t="s">
        <v>194</v>
      </c>
      <c r="E55" s="4">
        <v>0.2</v>
      </c>
      <c r="F55" t="s">
        <v>131</v>
      </c>
    </row>
    <row r="56" spans="1:6" x14ac:dyDescent="0.35">
      <c r="A56" t="s">
        <v>182</v>
      </c>
      <c r="B56" t="s">
        <v>195</v>
      </c>
      <c r="C56" t="s">
        <v>195</v>
      </c>
      <c r="D56" t="s">
        <v>196</v>
      </c>
      <c r="E56" s="4">
        <v>0.2</v>
      </c>
      <c r="F56" t="s">
        <v>131</v>
      </c>
    </row>
    <row r="57" spans="1:6" x14ac:dyDescent="0.35">
      <c r="A57" t="s">
        <v>182</v>
      </c>
      <c r="B57" t="s">
        <v>197</v>
      </c>
      <c r="C57" t="s">
        <v>197</v>
      </c>
      <c r="D57" t="s">
        <v>198</v>
      </c>
      <c r="E57" s="4">
        <v>0.2</v>
      </c>
      <c r="F57" t="s">
        <v>131</v>
      </c>
    </row>
    <row r="58" spans="1:6" x14ac:dyDescent="0.35">
      <c r="A58" t="s">
        <v>182</v>
      </c>
      <c r="B58" t="s">
        <v>199</v>
      </c>
      <c r="C58" t="s">
        <v>199</v>
      </c>
      <c r="D58" t="s">
        <v>200</v>
      </c>
      <c r="E58" s="4">
        <v>0.2</v>
      </c>
      <c r="F58" t="s">
        <v>58</v>
      </c>
    </row>
    <row r="59" spans="1:6" x14ac:dyDescent="0.35">
      <c r="A59" t="s">
        <v>182</v>
      </c>
      <c r="B59" t="s">
        <v>201</v>
      </c>
      <c r="C59" t="s">
        <v>201</v>
      </c>
      <c r="D59" t="s">
        <v>202</v>
      </c>
      <c r="E59" s="4">
        <v>0.5</v>
      </c>
      <c r="F59" t="s">
        <v>60</v>
      </c>
    </row>
    <row r="60" spans="1:6" x14ac:dyDescent="0.35">
      <c r="A60" t="s">
        <v>182</v>
      </c>
      <c r="B60" t="s">
        <v>203</v>
      </c>
      <c r="C60" t="s">
        <v>203</v>
      </c>
      <c r="D60" t="s">
        <v>204</v>
      </c>
      <c r="E60" s="4">
        <v>0.5</v>
      </c>
      <c r="F60" t="s">
        <v>60</v>
      </c>
    </row>
    <row r="61" spans="1:6" x14ac:dyDescent="0.35">
      <c r="A61" t="s">
        <v>182</v>
      </c>
      <c r="B61" t="s">
        <v>205</v>
      </c>
      <c r="C61" t="s">
        <v>205</v>
      </c>
      <c r="D61" t="s">
        <v>206</v>
      </c>
      <c r="E61" s="4">
        <v>0.5</v>
      </c>
      <c r="F61" t="s">
        <v>60</v>
      </c>
    </row>
    <row r="62" spans="1:6" x14ac:dyDescent="0.35">
      <c r="A62" t="s">
        <v>182</v>
      </c>
      <c r="B62" t="s">
        <v>207</v>
      </c>
      <c r="C62" t="s">
        <v>207</v>
      </c>
      <c r="D62" t="s">
        <v>208</v>
      </c>
      <c r="E62" s="4">
        <v>0.05</v>
      </c>
      <c r="F62" t="s">
        <v>60</v>
      </c>
    </row>
    <row r="63" spans="1:6" x14ac:dyDescent="0.35">
      <c r="A63" t="s">
        <v>182</v>
      </c>
      <c r="B63" t="s">
        <v>209</v>
      </c>
      <c r="C63" t="s">
        <v>209</v>
      </c>
      <c r="D63" t="s">
        <v>210</v>
      </c>
      <c r="E63" s="4">
        <v>0.2</v>
      </c>
      <c r="F63" t="s">
        <v>61</v>
      </c>
    </row>
    <row r="64" spans="1:6" x14ac:dyDescent="0.35">
      <c r="A64" t="s">
        <v>182</v>
      </c>
      <c r="B64" t="s">
        <v>211</v>
      </c>
      <c r="C64" t="s">
        <v>211</v>
      </c>
      <c r="D64" t="s">
        <v>212</v>
      </c>
      <c r="E64" s="4">
        <v>0.01</v>
      </c>
      <c r="F64" t="s">
        <v>61</v>
      </c>
    </row>
    <row r="65" spans="1:6" x14ac:dyDescent="0.35">
      <c r="A65" t="s">
        <v>182</v>
      </c>
      <c r="B65" t="s">
        <v>213</v>
      </c>
      <c r="C65" t="s">
        <v>213</v>
      </c>
      <c r="D65" t="s">
        <v>214</v>
      </c>
      <c r="E65" s="4">
        <v>0.1</v>
      </c>
      <c r="F65" t="s">
        <v>181</v>
      </c>
    </row>
    <row r="66" spans="1:6" x14ac:dyDescent="0.35">
      <c r="A66" t="s">
        <v>182</v>
      </c>
      <c r="B66" t="s">
        <v>215</v>
      </c>
      <c r="C66" t="s">
        <v>215</v>
      </c>
      <c r="D66" t="s">
        <v>216</v>
      </c>
      <c r="E66" s="4">
        <v>0.01</v>
      </c>
      <c r="F66" t="s">
        <v>217</v>
      </c>
    </row>
    <row r="67" spans="1:6" x14ac:dyDescent="0.35">
      <c r="A67" t="s">
        <v>182</v>
      </c>
      <c r="B67" t="s">
        <v>218</v>
      </c>
      <c r="C67" t="s">
        <v>218</v>
      </c>
      <c r="D67" t="s">
        <v>219</v>
      </c>
      <c r="E67" s="4">
        <v>0.34</v>
      </c>
      <c r="F67" t="s">
        <v>217</v>
      </c>
    </row>
    <row r="68" spans="1:6" x14ac:dyDescent="0.35">
      <c r="A68" t="s">
        <v>182</v>
      </c>
      <c r="B68" t="s">
        <v>220</v>
      </c>
      <c r="C68" t="s">
        <v>220</v>
      </c>
      <c r="D68" t="s">
        <v>221</v>
      </c>
      <c r="E68" s="4">
        <v>0.02</v>
      </c>
      <c r="F68" t="s">
        <v>217</v>
      </c>
    </row>
    <row r="69" spans="1:6" x14ac:dyDescent="0.35">
      <c r="A69" t="s">
        <v>182</v>
      </c>
      <c r="B69" t="s">
        <v>222</v>
      </c>
      <c r="C69" t="s">
        <v>222</v>
      </c>
      <c r="D69" t="s">
        <v>223</v>
      </c>
      <c r="E69" s="4">
        <v>0.01</v>
      </c>
      <c r="F69" t="s">
        <v>224</v>
      </c>
    </row>
    <row r="70" spans="1:6" x14ac:dyDescent="0.35">
      <c r="A70" s="2" t="s">
        <v>225</v>
      </c>
      <c r="B70" s="2" t="s">
        <v>226</v>
      </c>
      <c r="C70" s="2" t="s">
        <v>226</v>
      </c>
      <c r="D70" s="2" t="s">
        <v>227</v>
      </c>
      <c r="E70" s="3">
        <v>1.81</v>
      </c>
      <c r="F70" s="2" t="s">
        <v>131</v>
      </c>
    </row>
    <row r="71" spans="1:6" x14ac:dyDescent="0.35">
      <c r="A71" t="s">
        <v>225</v>
      </c>
      <c r="B71" t="s">
        <v>228</v>
      </c>
      <c r="C71" t="s">
        <v>228</v>
      </c>
      <c r="D71" t="s">
        <v>229</v>
      </c>
      <c r="E71" s="4">
        <v>1.52</v>
      </c>
      <c r="F71" t="s">
        <v>131</v>
      </c>
    </row>
    <row r="72" spans="1:6" x14ac:dyDescent="0.35">
      <c r="A72" t="s">
        <v>225</v>
      </c>
      <c r="B72" t="s">
        <v>230</v>
      </c>
      <c r="C72" t="s">
        <v>230</v>
      </c>
      <c r="D72" t="s">
        <v>231</v>
      </c>
      <c r="E72" s="4">
        <v>0.2</v>
      </c>
      <c r="F72" t="s">
        <v>131</v>
      </c>
    </row>
    <row r="73" spans="1:6" x14ac:dyDescent="0.35">
      <c r="A73" t="s">
        <v>225</v>
      </c>
      <c r="B73" t="s">
        <v>232</v>
      </c>
      <c r="C73" t="s">
        <v>232</v>
      </c>
      <c r="D73" t="s">
        <v>233</v>
      </c>
      <c r="E73" s="4">
        <v>0.17</v>
      </c>
      <c r="F73" t="s">
        <v>131</v>
      </c>
    </row>
    <row r="74" spans="1:6" x14ac:dyDescent="0.35">
      <c r="A74" t="s">
        <v>225</v>
      </c>
      <c r="B74" t="s">
        <v>234</v>
      </c>
      <c r="C74" t="s">
        <v>234</v>
      </c>
      <c r="D74" t="s">
        <v>235</v>
      </c>
      <c r="E74" s="4">
        <v>0.74</v>
      </c>
      <c r="F74" t="s">
        <v>58</v>
      </c>
    </row>
    <row r="75" spans="1:6" x14ac:dyDescent="0.35">
      <c r="A75" t="s">
        <v>225</v>
      </c>
      <c r="B75" t="s">
        <v>236</v>
      </c>
      <c r="C75" t="s">
        <v>236</v>
      </c>
      <c r="D75" t="s">
        <v>237</v>
      </c>
      <c r="E75" s="4">
        <v>1.75</v>
      </c>
      <c r="F75" t="s">
        <v>58</v>
      </c>
    </row>
    <row r="76" spans="1:6" x14ac:dyDescent="0.35">
      <c r="A76" t="s">
        <v>225</v>
      </c>
      <c r="B76" t="s">
        <v>238</v>
      </c>
      <c r="C76" t="s">
        <v>238</v>
      </c>
      <c r="D76" t="s">
        <v>239</v>
      </c>
      <c r="E76" s="4">
        <v>0.5</v>
      </c>
      <c r="F76" t="s">
        <v>60</v>
      </c>
    </row>
    <row r="77" spans="1:6" x14ac:dyDescent="0.35">
      <c r="A77" t="s">
        <v>225</v>
      </c>
      <c r="B77" t="s">
        <v>240</v>
      </c>
      <c r="C77" t="s">
        <v>240</v>
      </c>
      <c r="D77" t="s">
        <v>241</v>
      </c>
      <c r="E77" s="4">
        <v>0.5</v>
      </c>
      <c r="F77" t="s">
        <v>60</v>
      </c>
    </row>
    <row r="78" spans="1:6" x14ac:dyDescent="0.35">
      <c r="A78" t="s">
        <v>225</v>
      </c>
      <c r="B78" t="s">
        <v>242</v>
      </c>
      <c r="C78" t="s">
        <v>242</v>
      </c>
      <c r="D78" t="s">
        <v>243</v>
      </c>
      <c r="E78" s="4">
        <v>0.5</v>
      </c>
      <c r="F78" t="s">
        <v>181</v>
      </c>
    </row>
    <row r="79" spans="1:6" x14ac:dyDescent="0.35">
      <c r="A79" t="s">
        <v>225</v>
      </c>
      <c r="B79" t="s">
        <v>244</v>
      </c>
      <c r="C79" t="s">
        <v>244</v>
      </c>
      <c r="D79" t="s">
        <v>245</v>
      </c>
      <c r="E79" s="4">
        <v>0.01</v>
      </c>
      <c r="F79" t="s">
        <v>61</v>
      </c>
    </row>
    <row r="80" spans="1:6" x14ac:dyDescent="0.35">
      <c r="A80" s="2" t="s">
        <v>246</v>
      </c>
      <c r="B80" s="2" t="s">
        <v>247</v>
      </c>
      <c r="C80" s="2" t="s">
        <v>247</v>
      </c>
      <c r="D80" s="2" t="s">
        <v>248</v>
      </c>
      <c r="E80" s="3">
        <v>1</v>
      </c>
      <c r="F80" s="2" t="s">
        <v>249</v>
      </c>
    </row>
    <row r="81" spans="1:6" x14ac:dyDescent="0.35">
      <c r="A81" t="s">
        <v>246</v>
      </c>
      <c r="B81" t="s">
        <v>250</v>
      </c>
      <c r="C81" t="s">
        <v>250</v>
      </c>
      <c r="D81" t="s">
        <v>251</v>
      </c>
      <c r="E81" s="4">
        <v>0.6</v>
      </c>
      <c r="F81" t="s">
        <v>131</v>
      </c>
    </row>
    <row r="82" spans="1:6" x14ac:dyDescent="0.35">
      <c r="A82" t="s">
        <v>246</v>
      </c>
      <c r="B82" t="s">
        <v>252</v>
      </c>
      <c r="C82" t="s">
        <v>252</v>
      </c>
      <c r="D82" t="s">
        <v>253</v>
      </c>
      <c r="E82" s="4">
        <v>0.5</v>
      </c>
      <c r="F82" t="s">
        <v>181</v>
      </c>
    </row>
  </sheetData>
  <autoFilter ref="A1:F82" xr:uid="{00000000-0009-0000-0000-000002000000}"/>
  <pageMargins left="0.75" right="0.75" top="1" bottom="1" header="0.5" footer="0.5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stoichiometric_matrix</vt:lpstr>
      <vt:lpstr>composition_matrix</vt:lpstr>
      <vt:lpstr>parameter_table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Selerio, Egberto</cp:lastModifiedBy>
  <dcterms:created xsi:type="dcterms:W3CDTF">2026-04-08T23:33:48Z</dcterms:created>
  <dcterms:modified xsi:type="dcterms:W3CDTF">2026-04-10T16:37:28Z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2026-04-10T16:37:27Z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63058975-f392-47f0-96dc-3a4c97d96dac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